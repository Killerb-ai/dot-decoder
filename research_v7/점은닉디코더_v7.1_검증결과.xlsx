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문서별 결과" sheetId="2" state="visible" r:id="rId4"/>
    <sheet name="자리별 확률" sheetId="3" state="visible" r:id="rId5"/>
    <sheet name="변형 테스트" sheetId="4" state="visible" r:id="rId6"/>
    <sheet name="신뢰도 보정" sheetId="5" state="visible" r:id="rId7"/>
  </sheets>
  <definedNames>
    <definedName function="false" hidden="true" localSheetId="2" name="_xlnm._FilterDatabase" vbProcedure="false">'자리별 확률'!$A$2:$I$106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Noto Sans CJK SC"/>
            <family val="2"/>
          </rPr>
          <t xml:space="preserve">정답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답안지의 삼각형 위치를 </t>
        </r>
        <r>
          <rPr>
            <sz val="10"/>
            <rFont val="Arial"/>
            <family val="2"/>
          </rPr>
          <t xml:space="preserve">8×8 </t>
        </r>
        <r>
          <rPr>
            <sz val="10"/>
            <rFont val="Noto Sans CJK SC"/>
            <family val="2"/>
          </rPr>
          <t xml:space="preserve">용지격자에 대입해 산출</t>
        </r>
        <r>
          <rPr>
            <sz val="10"/>
            <rFont val="Arial"/>
            <family val="2"/>
          </rPr>
          <t xml:space="preserve">. sample_8/11</t>
        </r>
        <r>
          <rPr>
            <sz val="10"/>
            <rFont val="Noto Sans CJK SC"/>
            <family val="2"/>
          </rPr>
          <t xml:space="preserve">은 기존 확인된 번호와 일치</t>
        </r>
        <r>
          <rPr>
            <sz val="10"/>
            <rFont val="Arial"/>
            <family val="2"/>
          </rPr>
          <t xml:space="preserve">.</t>
        </r>
      </text>
    </comment>
    <comment ref="G2" authorId="0">
      <text>
        <r>
          <rPr>
            <sz val="10"/>
            <rFont val="Arial"/>
            <family val="2"/>
          </rPr>
          <t xml:space="preserve">v6.1 </t>
        </r>
        <r>
          <rPr>
            <sz val="10"/>
            <rFont val="Noto Sans CJK SC"/>
            <family val="2"/>
          </rPr>
          <t xml:space="preserve">신뢰도는 당시 프로그램이 표시한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가로문서 </t>
        </r>
        <r>
          <rPr>
            <sz val="10"/>
            <rFont val="Arial"/>
            <family val="2"/>
          </rPr>
          <t xml:space="preserve">s6/s7</t>
        </r>
        <r>
          <rPr>
            <sz val="10"/>
            <rFont val="Noto Sans CJK SC"/>
            <family val="2"/>
          </rPr>
          <t xml:space="preserve">은 판독 불가로 공란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<sst xmlns="http://schemas.openxmlformats.org/spreadsheetml/2006/main" count="516" uniqueCount="182">
  <si>
    <r>
      <rPr>
        <b val="true"/>
        <sz val="14"/>
        <rFont val="Noto Sans CJK SC"/>
        <family val="2"/>
      </rPr>
      <t xml:space="preserve">점은닉 디코더 </t>
    </r>
    <r>
      <rPr>
        <b val="true"/>
        <sz val="14"/>
        <rFont val="Arial"/>
        <family val="0"/>
        <charset val="1"/>
      </rPr>
      <t xml:space="preserve">v7.1 </t>
    </r>
    <r>
      <rPr>
        <b val="true"/>
        <sz val="14"/>
        <rFont val="Noto Sans CJK SC"/>
        <family val="2"/>
      </rPr>
      <t xml:space="preserve">검증 결과</t>
    </r>
  </si>
  <si>
    <r>
      <rPr>
        <i val="true"/>
        <sz val="9"/>
        <color rgb="FF666666"/>
        <rFont val="Noto Sans CJK SC"/>
        <family val="2"/>
      </rPr>
      <t xml:space="preserve">기준일 </t>
    </r>
    <r>
      <rPr>
        <i val="true"/>
        <sz val="9"/>
        <color rgb="FF666666"/>
        <rFont val="Arial"/>
        <family val="0"/>
        <charset val="1"/>
      </rPr>
      <t xml:space="preserve">2026-10-15 · </t>
    </r>
    <r>
      <rPr>
        <i val="true"/>
        <sz val="9"/>
        <color rgb="FF666666"/>
        <rFont val="Noto Sans CJK SC"/>
        <family val="2"/>
      </rPr>
      <t xml:space="preserve">정답은 답안지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삼각형 표시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Noto Sans CJK SC"/>
        <family val="2"/>
      </rPr>
      <t xml:space="preserve">기준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판독은 </t>
    </r>
    <r>
      <rPr>
        <i val="true"/>
        <sz val="9"/>
        <color rgb="FF666666"/>
        <rFont val="Arial"/>
        <family val="0"/>
        <charset val="1"/>
      </rPr>
      <t xml:space="preserve">index.html(v7.1 JS)</t>
    </r>
    <r>
      <rPr>
        <i val="true"/>
        <sz val="9"/>
        <color rgb="FF666666"/>
        <rFont val="Noto Sans CJK SC"/>
        <family val="2"/>
      </rPr>
      <t xml:space="preserve">로 실행</t>
    </r>
  </si>
  <si>
    <t xml:space="preserve">항목</t>
  </si>
  <si>
    <r>
      <rPr>
        <b val="true"/>
        <sz val="11"/>
        <color rgb="FFFFFFFF"/>
        <rFont val="Arial"/>
        <family val="0"/>
        <charset val="1"/>
      </rPr>
      <t xml:space="preserve">v6.1 (</t>
    </r>
    <r>
      <rPr>
        <b val="true"/>
        <sz val="11"/>
        <color rgb="FFFFFFFF"/>
        <rFont val="Noto Sans CJK SC"/>
        <family val="2"/>
      </rPr>
      <t xml:space="preserve">기존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</si>
  <si>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v7.1 (</t>
    </r>
    <r>
      <rPr>
        <b val="true"/>
        <sz val="11"/>
        <color rgb="FFFFFFFF"/>
        <rFont val="Noto Sans CJK SC"/>
        <family val="2"/>
      </rPr>
      <t xml:space="preserve">신규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</si>
  <si>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비고</t>
  </si>
  <si>
    <t xml:space="preserve">검증 문서 수</t>
  </si>
  <si>
    <r>
      <rPr>
        <sz val="11"/>
        <color theme="1"/>
        <rFont val="Noto Sans CJK SC"/>
        <family val="2"/>
      </rPr>
      <t xml:space="preserve">새 </t>
    </r>
    <r>
      <rPr>
        <sz val="11"/>
        <color theme="1"/>
        <rFont val="Arial"/>
        <family val="0"/>
        <charset val="1"/>
      </rPr>
      <t xml:space="preserve">220dpi 8</t>
    </r>
    <r>
      <rPr>
        <sz val="11"/>
        <color theme="1"/>
        <rFont val="Noto Sans CJK SC"/>
        <family val="2"/>
      </rPr>
      <t xml:space="preserve">장 </t>
    </r>
    <r>
      <rPr>
        <sz val="11"/>
        <color theme="1"/>
        <rFont val="Arial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기존 </t>
    </r>
    <r>
      <rPr>
        <sz val="11"/>
        <color theme="1"/>
        <rFont val="Arial"/>
        <family val="0"/>
        <charset val="1"/>
      </rPr>
      <t xml:space="preserve">300dpi 5</t>
    </r>
    <r>
      <rPr>
        <sz val="11"/>
        <color theme="1"/>
        <rFont val="Noto Sans CJK SC"/>
        <family val="2"/>
      </rPr>
      <t xml:space="preserve">장</t>
    </r>
  </si>
  <si>
    <t xml:space="preserve">문서 완전일치</t>
  </si>
  <si>
    <t xml:space="preserve">문서 일치율</t>
  </si>
  <si>
    <r>
      <rPr>
        <sz val="11"/>
        <color theme="1"/>
        <rFont val="Noto Sans CJK SC"/>
        <family val="2"/>
      </rPr>
      <t xml:space="preserve">자리 일치 </t>
    </r>
    <r>
      <rPr>
        <sz val="11"/>
        <color theme="1"/>
        <rFont val="Arial"/>
        <family val="0"/>
        <charset val="1"/>
      </rPr>
      <t xml:space="preserve">(8</t>
    </r>
    <r>
      <rPr>
        <sz val="11"/>
        <color theme="1"/>
        <rFont val="Noto Sans CJK SC"/>
        <family val="2"/>
      </rPr>
      <t xml:space="preserve">자리</t>
    </r>
    <r>
      <rPr>
        <sz val="11"/>
        <color theme="1"/>
        <rFont val="Arial"/>
        <family val="0"/>
        <charset val="1"/>
      </rPr>
      <t xml:space="preserve">×</t>
    </r>
    <r>
      <rPr>
        <sz val="11"/>
        <color theme="1"/>
        <rFont val="Noto Sans CJK SC"/>
        <family val="2"/>
      </rPr>
      <t xml:space="preserve">문서</t>
    </r>
    <r>
      <rPr>
        <sz val="11"/>
        <color theme="1"/>
        <rFont val="Arial"/>
        <family val="0"/>
        <charset val="1"/>
      </rPr>
      <t xml:space="preserve">)</t>
    </r>
  </si>
  <si>
    <t xml:space="preserve">자리 일치율</t>
  </si>
  <si>
    <r>
      <rPr>
        <sz val="11"/>
        <color theme="1"/>
        <rFont val="Noto Sans CJK SC"/>
        <family val="2"/>
      </rPr>
      <t xml:space="preserve">새 예제 </t>
    </r>
    <r>
      <rPr>
        <sz val="11"/>
        <color theme="1"/>
        <rFont val="Arial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장 완전일치</t>
    </r>
  </si>
  <si>
    <r>
      <rPr>
        <sz val="11"/>
        <color theme="1"/>
        <rFont val="Arial"/>
        <family val="0"/>
        <charset val="1"/>
      </rPr>
      <t xml:space="preserve">v6.1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Arial"/>
        <family val="0"/>
        <charset val="1"/>
      </rPr>
      <t xml:space="preserve">QR</t>
    </r>
    <r>
      <rPr>
        <sz val="11"/>
        <color theme="1"/>
        <rFont val="Noto Sans CJK SC"/>
        <family val="2"/>
      </rPr>
      <t xml:space="preserve">이 없어 판독 불가</t>
    </r>
  </si>
  <si>
    <t xml:space="preserve">변형 테스트 자리 일치율</t>
  </si>
  <si>
    <r>
      <rPr>
        <sz val="11"/>
        <color theme="1"/>
        <rFont val="Arial"/>
        <family val="0"/>
        <charset val="1"/>
      </rPr>
      <t xml:space="preserve">17</t>
    </r>
    <r>
      <rPr>
        <sz val="11"/>
        <color theme="1"/>
        <rFont val="Noto Sans CJK SC"/>
        <family val="2"/>
      </rPr>
      <t xml:space="preserve">종 변형 </t>
    </r>
    <r>
      <rPr>
        <sz val="11"/>
        <color theme="1"/>
        <rFont val="Arial"/>
        <family val="0"/>
        <charset val="1"/>
      </rPr>
      <t xml:space="preserve">× 13</t>
    </r>
    <r>
      <rPr>
        <sz val="11"/>
        <color theme="1"/>
        <rFont val="Noto Sans CJK SC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, JS </t>
    </r>
    <r>
      <rPr>
        <sz val="11"/>
        <color theme="1"/>
        <rFont val="Noto Sans CJK SC"/>
        <family val="2"/>
      </rPr>
      <t xml:space="preserve">실행</t>
    </r>
  </si>
  <si>
    <r>
      <rPr>
        <sz val="11"/>
        <color theme="1"/>
        <rFont val="Noto Sans CJK SC"/>
        <family val="2"/>
      </rPr>
      <t xml:space="preserve">확률≥</t>
    </r>
    <r>
      <rPr>
        <sz val="11"/>
        <color theme="1"/>
        <rFont val="Arial"/>
        <family val="0"/>
        <charset val="1"/>
      </rPr>
      <t xml:space="preserve">90% </t>
    </r>
    <r>
      <rPr>
        <sz val="11"/>
        <color theme="1"/>
        <rFont val="Noto Sans CJK SC"/>
        <family val="2"/>
      </rPr>
      <t xml:space="preserve">표시 자리 정확도</t>
    </r>
  </si>
  <si>
    <t xml:space="preserve">표시 확률이 높은 자리는 믿을 수 있는지</t>
  </si>
  <si>
    <t xml:space="preserve">해석</t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</si>
  <si>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격자는 </t>
    </r>
    <r>
      <rPr>
        <sz val="11"/>
        <rFont val="Arial"/>
        <family val="0"/>
        <charset val="1"/>
      </rPr>
      <t xml:space="preserve">QR </t>
    </r>
    <r>
      <rPr>
        <sz val="11"/>
        <rFont val="Noto Sans CJK SC"/>
        <family val="2"/>
      </rPr>
      <t xml:space="preserve">위치가 아니라 용지 전체를 가로 </t>
    </r>
    <r>
      <rPr>
        <sz val="11"/>
        <rFont val="Arial"/>
        <family val="0"/>
        <charset val="1"/>
      </rPr>
      <t xml:space="preserve">8 ×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로 균등분할한 것입니다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</si>
  <si>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틀린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자리</t>
    </r>
    <r>
      <rPr>
        <sz val="11"/>
        <rFont val="Arial"/>
        <family val="0"/>
        <charset val="1"/>
      </rPr>
      <t xml:space="preserve">(sample_16 P4, sample_19 P4)</t>
    </r>
    <r>
      <rPr>
        <sz val="11"/>
        <rFont val="Noto Sans CJK SC"/>
        <family val="2"/>
      </rPr>
      <t xml:space="preserve">는 점이 굵은 글자 획 속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획 끝에 묻힌 경우입니다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</si>
  <si>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점이 가려진 자리는 위치로 추론하며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확률이 낮게 표시됩니다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자리별 확률 시트 참고</t>
    </r>
    <r>
      <rPr>
        <sz val="11"/>
        <rFont val="Arial"/>
        <family val="0"/>
        <charset val="1"/>
      </rPr>
      <t xml:space="preserve">).</t>
    </r>
  </si>
  <si>
    <r>
      <rPr>
        <b val="true"/>
        <sz val="14"/>
        <rFont val="Noto Sans CJK SC"/>
        <family val="2"/>
      </rPr>
      <t xml:space="preserve">문서별 판독 결과 </t>
    </r>
    <r>
      <rPr>
        <b val="true"/>
        <sz val="14"/>
        <rFont val="Arial"/>
        <family val="0"/>
        <charset val="1"/>
      </rPr>
      <t xml:space="preserve">(13</t>
    </r>
    <r>
      <rPr>
        <b val="true"/>
        <sz val="14"/>
        <rFont val="Noto Sans CJK SC"/>
        <family val="2"/>
      </rPr>
      <t xml:space="preserve">장</t>
    </r>
    <r>
      <rPr>
        <b val="true"/>
        <sz val="14"/>
        <rFont val="Arial"/>
        <family val="0"/>
        <charset val="1"/>
      </rPr>
      <t xml:space="preserve">)</t>
    </r>
  </si>
  <si>
    <t xml:space="preserve">파일</t>
  </si>
  <si>
    <t xml:space="preserve">연구명</t>
  </si>
  <si>
    <t xml:space="preserve">문서</t>
  </si>
  <si>
    <t xml:space="preserve">해상도</t>
  </si>
  <si>
    <t xml:space="preserve">정답</t>
  </si>
  <si>
    <r>
      <rPr>
        <b val="true"/>
        <sz val="11"/>
        <color rgb="FFFFFFFF"/>
        <rFont val="Arial"/>
        <family val="0"/>
        <charset val="1"/>
      </rPr>
      <t xml:space="preserve">v6.1 </t>
    </r>
    <r>
      <rPr>
        <b val="true"/>
        <sz val="11"/>
        <color rgb="FFFFFFFF"/>
        <rFont val="Noto Sans CJK SC"/>
        <family val="2"/>
      </rPr>
      <t xml:space="preserve">판독</t>
    </r>
  </si>
  <si>
    <r>
      <rPr>
        <b val="true"/>
        <sz val="11"/>
        <color rgb="FFFFFFFF"/>
        <rFont val="Arial"/>
        <family val="0"/>
        <charset val="1"/>
      </rPr>
      <t xml:space="preserve">v6.1 </t>
    </r>
    <r>
      <rPr>
        <b val="true"/>
        <sz val="11"/>
        <color rgb="FFFFFFFF"/>
        <rFont val="Noto Sans CJK SC"/>
        <family val="2"/>
      </rPr>
      <t xml:space="preserve">신뢰도</t>
    </r>
  </si>
  <si>
    <r>
      <rPr>
        <b val="true"/>
        <sz val="11"/>
        <color rgb="FFFFFFFF"/>
        <rFont val="Arial"/>
        <family val="0"/>
        <charset val="1"/>
      </rPr>
      <t xml:space="preserve">v6.1 </t>
    </r>
    <r>
      <rPr>
        <b val="true"/>
        <sz val="11"/>
        <color rgb="FFFFFFFF"/>
        <rFont val="Noto Sans CJK SC"/>
        <family val="2"/>
      </rPr>
      <t xml:space="preserve">일치</t>
    </r>
  </si>
  <si>
    <r>
      <rPr>
        <b val="true"/>
        <sz val="11"/>
        <color rgb="FFFFFFFF"/>
        <rFont val="Arial"/>
        <family val="0"/>
        <charset val="1"/>
      </rPr>
      <t xml:space="preserve">v6.1 </t>
    </r>
    <r>
      <rPr>
        <b val="true"/>
        <sz val="11"/>
        <color rgb="FFFFFFFF"/>
        <rFont val="Noto Sans CJK SC"/>
        <family val="2"/>
      </rPr>
      <t xml:space="preserve">일치 자리</t>
    </r>
  </si>
  <si>
    <r>
      <rPr>
        <b val="true"/>
        <sz val="11"/>
        <color rgb="FFFFFFFF"/>
        <rFont val="Arial"/>
        <family val="0"/>
        <charset val="1"/>
      </rPr>
      <t xml:space="preserve">v7.1 </t>
    </r>
    <r>
      <rPr>
        <b val="true"/>
        <sz val="11"/>
        <color rgb="FFFFFFFF"/>
        <rFont val="Noto Sans CJK SC"/>
        <family val="2"/>
      </rPr>
      <t xml:space="preserve">판독</t>
    </r>
  </si>
  <si>
    <r>
      <rPr>
        <b val="true"/>
        <sz val="11"/>
        <color rgb="FFFFFFFF"/>
        <rFont val="Arial"/>
        <family val="0"/>
        <charset val="1"/>
      </rPr>
      <t xml:space="preserve">v7.1 </t>
    </r>
    <r>
      <rPr>
        <b val="true"/>
        <sz val="11"/>
        <color rgb="FFFFFFFF"/>
        <rFont val="Noto Sans CJK SC"/>
        <family val="2"/>
      </rPr>
      <t xml:space="preserve">일치</t>
    </r>
  </si>
  <si>
    <r>
      <rPr>
        <b val="true"/>
        <sz val="11"/>
        <color rgb="FFFFFFFF"/>
        <rFont val="Arial"/>
        <family val="0"/>
        <charset val="1"/>
      </rPr>
      <t xml:space="preserve">v7.1 </t>
    </r>
    <r>
      <rPr>
        <b val="true"/>
        <sz val="11"/>
        <color rgb="FFFFFFFF"/>
        <rFont val="Noto Sans CJK SC"/>
        <family val="2"/>
      </rPr>
      <t xml:space="preserve">일치 자리</t>
    </r>
  </si>
  <si>
    <r>
      <rPr>
        <b val="true"/>
        <sz val="11"/>
        <color rgb="FFFFFFFF"/>
        <rFont val="Arial"/>
        <family val="0"/>
        <charset val="1"/>
      </rPr>
      <t xml:space="preserve">v7.1 </t>
    </r>
    <r>
      <rPr>
        <b val="true"/>
        <sz val="11"/>
        <color rgb="FFFFFFFF"/>
        <rFont val="Noto Sans CJK SC"/>
        <family val="2"/>
      </rPr>
      <t xml:space="preserve">신뢰도</t>
    </r>
  </si>
  <si>
    <t xml:space="preserve">가려진 점 추론</t>
  </si>
  <si>
    <t xml:space="preserve">sample_12</t>
  </si>
  <si>
    <t xml:space="preserve">n1</t>
  </si>
  <si>
    <r>
      <rPr>
        <sz val="11"/>
        <color theme="1"/>
        <rFont val="Arial"/>
        <family val="0"/>
        <charset val="1"/>
      </rPr>
      <t xml:space="preserve">SPS </t>
    </r>
    <r>
      <rPr>
        <sz val="11"/>
        <color theme="1"/>
        <rFont val="Noto Sans CJK SC"/>
        <family val="2"/>
      </rPr>
      <t xml:space="preserve">유지보수 기준서</t>
    </r>
  </si>
  <si>
    <t xml:space="preserve">220dpi</t>
  </si>
  <si>
    <t xml:space="preserve">77013046</t>
  </si>
  <si>
    <t xml:space="preserve">?0307?3?</t>
  </si>
  <si>
    <r>
      <rPr>
        <sz val="11"/>
        <color theme="1"/>
        <rFont val="Arial"/>
        <family val="0"/>
        <charset val="1"/>
      </rPr>
      <t xml:space="preserve">P4·P5 </t>
    </r>
    <r>
      <rPr>
        <sz val="11"/>
        <color theme="1"/>
        <rFont val="Noto Sans CJK SC"/>
        <family val="2"/>
      </rPr>
      <t xml:space="preserve">점이 표선 위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선에 흰 틈으로 보임</t>
    </r>
    <r>
      <rPr>
        <sz val="11"/>
        <color theme="1"/>
        <rFont val="Arial"/>
        <family val="0"/>
        <charset val="1"/>
      </rPr>
      <t xml:space="preserve">)</t>
    </r>
  </si>
  <si>
    <t xml:space="preserve">sample_13</t>
  </si>
  <si>
    <t xml:space="preserve">n2</t>
  </si>
  <si>
    <t xml:space="preserve">점검보고서</t>
  </si>
  <si>
    <t xml:space="preserve">55223046</t>
  </si>
  <si>
    <t xml:space="preserve">7624362?</t>
  </si>
  <si>
    <t xml:space="preserve">sample_14</t>
  </si>
  <si>
    <t xml:space="preserve">n3</t>
  </si>
  <si>
    <t xml:space="preserve">User Information Verification</t>
  </si>
  <si>
    <t xml:space="preserve">73505046</t>
  </si>
  <si>
    <t xml:space="preserve">5430551?</t>
  </si>
  <si>
    <t xml:space="preserve">sample_15</t>
  </si>
  <si>
    <t xml:space="preserve">n4</t>
  </si>
  <si>
    <r>
      <rPr>
        <sz val="11"/>
        <color theme="1"/>
        <rFont val="Noto Sans CJK SC"/>
        <family val="2"/>
      </rPr>
      <t xml:space="preserve">은행정보 레터</t>
    </r>
    <r>
      <rPr>
        <sz val="11"/>
        <color theme="1"/>
        <rFont val="Arial"/>
        <family val="0"/>
        <charset val="1"/>
      </rPr>
      <t xml:space="preserve">(HP)</t>
    </r>
  </si>
  <si>
    <t xml:space="preserve">12515046</t>
  </si>
  <si>
    <t xml:space="preserve">2?2527??</t>
  </si>
  <si>
    <t xml:space="preserve">sample_16</t>
  </si>
  <si>
    <t xml:space="preserve">n5</t>
  </si>
  <si>
    <r>
      <rPr>
        <sz val="11"/>
        <color theme="1"/>
        <rFont val="Arial"/>
        <family val="0"/>
        <charset val="1"/>
      </rPr>
      <t xml:space="preserve">SecuPrint </t>
    </r>
    <r>
      <rPr>
        <sz val="11"/>
        <color theme="1"/>
        <rFont val="Noto Sans CJK SC"/>
        <family val="2"/>
      </rPr>
      <t xml:space="preserve">도입검토 보고</t>
    </r>
  </si>
  <si>
    <t xml:space="preserve">36625046</t>
  </si>
  <si>
    <t xml:space="preserve">??6672?5</t>
  </si>
  <si>
    <t xml:space="preserve">36623046</t>
  </si>
  <si>
    <r>
      <rPr>
        <sz val="11"/>
        <color theme="1"/>
        <rFont val="Arial"/>
        <family val="0"/>
        <charset val="1"/>
      </rPr>
      <t xml:space="preserve">P4: </t>
    </r>
    <r>
      <rPr>
        <sz val="11"/>
        <color theme="1"/>
        <rFont val="Noto Sans CJK SC"/>
        <family val="2"/>
      </rPr>
      <t xml:space="preserve">점이 굵은 글자 </t>
    </r>
    <r>
      <rPr>
        <sz val="11"/>
        <color theme="1"/>
        <rFont val="Arial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력</t>
    </r>
    <r>
      <rPr>
        <sz val="11"/>
        <color theme="1"/>
        <rFont val="Arial"/>
        <family val="0"/>
        <charset val="1"/>
      </rPr>
      <t xml:space="preserve">" </t>
    </r>
    <r>
      <rPr>
        <sz val="11"/>
        <color theme="1"/>
        <rFont val="Noto Sans CJK SC"/>
        <family val="2"/>
      </rPr>
      <t xml:space="preserve">획 속에 묻힘 → 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으로 오판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Arial"/>
        <family val="0"/>
        <charset val="1"/>
      </rPr>
      <t xml:space="preserve">5)</t>
    </r>
  </si>
  <si>
    <t xml:space="preserve">sample_17</t>
  </si>
  <si>
    <t xml:space="preserve">n6</t>
  </si>
  <si>
    <t xml:space="preserve">네트워크 포트 정의표</t>
  </si>
  <si>
    <t xml:space="preserve">71265046</t>
  </si>
  <si>
    <t xml:space="preserve">11616211</t>
  </si>
  <si>
    <t xml:space="preserve">sample_18</t>
  </si>
  <si>
    <t xml:space="preserve">n7</t>
  </si>
  <si>
    <t xml:space="preserve">생산시설 보유 목록 확인서</t>
  </si>
  <si>
    <t xml:space="preserve">33706046</t>
  </si>
  <si>
    <t xml:space="preserve">7?70????</t>
  </si>
  <si>
    <t xml:space="preserve">sample_19</t>
  </si>
  <si>
    <t xml:space="preserve">n8</t>
  </si>
  <si>
    <t xml:space="preserve">특허증</t>
  </si>
  <si>
    <t xml:space="preserve">45616046</t>
  </si>
  <si>
    <t xml:space="preserve">??763336</t>
  </si>
  <si>
    <t xml:space="preserve">45617046</t>
  </si>
  <si>
    <r>
      <rPr>
        <sz val="11"/>
        <color theme="1"/>
        <rFont val="Arial"/>
        <family val="0"/>
        <charset val="1"/>
      </rPr>
      <t xml:space="preserve">P4: </t>
    </r>
    <r>
      <rPr>
        <sz val="11"/>
        <color theme="1"/>
        <rFont val="Noto Sans CJK SC"/>
        <family val="2"/>
      </rPr>
      <t xml:space="preserve">점이 글자 획 끝에 붙음 → </t>
    </r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로 오판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Arial"/>
        <family val="0"/>
        <charset val="1"/>
      </rPr>
      <t xml:space="preserve">6)</t>
    </r>
  </si>
  <si>
    <t xml:space="preserve">sample_8</t>
  </si>
  <si>
    <t xml:space="preserve">s8</t>
  </si>
  <si>
    <t xml:space="preserve">작업 계획서</t>
  </si>
  <si>
    <t xml:space="preserve">300dpi</t>
  </si>
  <si>
    <t xml:space="preserve">22502270</t>
  </si>
  <si>
    <t xml:space="preserve">sample_9</t>
  </si>
  <si>
    <t xml:space="preserve">s9</t>
  </si>
  <si>
    <r>
      <rPr>
        <sz val="11"/>
        <color theme="1"/>
        <rFont val="Arial"/>
        <family val="0"/>
        <charset val="1"/>
      </rPr>
      <t xml:space="preserve">SPS </t>
    </r>
    <r>
      <rPr>
        <sz val="11"/>
        <color theme="1"/>
        <rFont val="Noto Sans CJK SC"/>
        <family val="2"/>
      </rPr>
      <t xml:space="preserve">유지보수 기준서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구형</t>
    </r>
    <r>
      <rPr>
        <sz val="11"/>
        <color theme="1"/>
        <rFont val="Arial"/>
        <family val="0"/>
        <charset val="1"/>
      </rPr>
      <t xml:space="preserve">)</t>
    </r>
  </si>
  <si>
    <t xml:space="preserve">26174411</t>
  </si>
  <si>
    <t xml:space="preserve">sample_11</t>
  </si>
  <si>
    <t xml:space="preserve">s11</t>
  </si>
  <si>
    <r>
      <rPr>
        <sz val="11"/>
        <color theme="1"/>
        <rFont val="Noto Sans CJK SC"/>
        <family val="2"/>
      </rPr>
      <t xml:space="preserve">은행정보 레터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구형</t>
    </r>
    <r>
      <rPr>
        <sz val="11"/>
        <color theme="1"/>
        <rFont val="Arial"/>
        <family val="0"/>
        <charset val="1"/>
      </rPr>
      <t xml:space="preserve">)</t>
    </r>
  </si>
  <si>
    <t xml:space="preserve">25374411</t>
  </si>
  <si>
    <t xml:space="preserve">sample_6</t>
  </si>
  <si>
    <t xml:space="preserve">s6</t>
  </si>
  <si>
    <t xml:space="preserve">가로 문서</t>
  </si>
  <si>
    <t xml:space="preserve">56161270</t>
  </si>
  <si>
    <t xml:space="preserve">판독 실패</t>
  </si>
  <si>
    <r>
      <rPr>
        <sz val="11"/>
        <color theme="1"/>
        <rFont val="Arial"/>
        <family val="0"/>
        <charset val="1"/>
      </rPr>
      <t xml:space="preserve">v6.1</t>
    </r>
    <r>
      <rPr>
        <sz val="11"/>
        <color theme="1"/>
        <rFont val="Noto Sans CJK SC"/>
        <family val="2"/>
      </rPr>
      <t xml:space="preserve">은 가로문서 미지원 → </t>
    </r>
    <r>
      <rPr>
        <sz val="11"/>
        <color theme="1"/>
        <rFont val="Arial"/>
        <family val="0"/>
        <charset val="1"/>
      </rPr>
      <t xml:space="preserve">v7.1</t>
    </r>
    <r>
      <rPr>
        <sz val="11"/>
        <color theme="1"/>
        <rFont val="Noto Sans CJK SC"/>
        <family val="2"/>
      </rPr>
      <t xml:space="preserve">에서 해결</t>
    </r>
  </si>
  <si>
    <t xml:space="preserve">sample_7</t>
  </si>
  <si>
    <t xml:space="preserve">s7</t>
  </si>
  <si>
    <t xml:space="preserve">35261270</t>
  </si>
  <si>
    <r>
      <rPr>
        <i val="true"/>
        <sz val="9"/>
        <color rgb="FF666666"/>
        <rFont val="Arial"/>
        <family val="0"/>
        <charset val="1"/>
      </rPr>
      <t xml:space="preserve">· "?"</t>
    </r>
    <r>
      <rPr>
        <i val="true"/>
        <sz val="9"/>
        <color rgb="FF666666"/>
        <rFont val="Noto Sans CJK SC"/>
        <family val="2"/>
      </rPr>
      <t xml:space="preserve">는 해당 자리를 찾지 못함</t>
    </r>
    <r>
      <rPr>
        <i val="true"/>
        <sz val="9"/>
        <color rgb="FF666666"/>
        <rFont val="Arial"/>
        <family val="0"/>
        <charset val="1"/>
      </rPr>
      <t xml:space="preserve">. v6.1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QR </t>
    </r>
    <r>
      <rPr>
        <i val="true"/>
        <sz val="9"/>
        <color rgb="FF666666"/>
        <rFont val="Noto Sans CJK SC"/>
        <family val="2"/>
      </rPr>
      <t xml:space="preserve">기준이라 </t>
    </r>
    <r>
      <rPr>
        <i val="true"/>
        <sz val="9"/>
        <color rgb="FF666666"/>
        <rFont val="Arial"/>
        <family val="0"/>
        <charset val="1"/>
      </rPr>
      <t xml:space="preserve">QR </t>
    </r>
    <r>
      <rPr>
        <i val="true"/>
        <sz val="9"/>
        <color rgb="FF666666"/>
        <rFont val="Noto Sans CJK SC"/>
        <family val="2"/>
      </rPr>
      <t xml:space="preserve">없는 새 예제에서 구형 폴백으로 판독됨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</si>
  <si>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자리별 판독 상세 </t>
    </r>
    <r>
      <rPr>
        <b val="true"/>
        <sz val="14"/>
        <rFont val="Arial"/>
        <family val="0"/>
        <charset val="1"/>
      </rPr>
      <t xml:space="preserve">(v7.1)</t>
    </r>
  </si>
  <si>
    <t xml:space="preserve">자리</t>
  </si>
  <si>
    <t xml:space="preserve">정답 숫자</t>
  </si>
  <si>
    <t xml:space="preserve">판독 숫자</t>
  </si>
  <si>
    <t xml:space="preserve">일치</t>
  </si>
  <si>
    <t xml:space="preserve">확률</t>
  </si>
  <si>
    <t xml:space="preserve">검출 방식</t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</si>
  <si>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순위 숫자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</si>
  <si>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순위 확률</t>
    </r>
  </si>
  <si>
    <t xml:space="preserve">P0</t>
  </si>
  <si>
    <t xml:space="preserve">위치 추론</t>
  </si>
  <si>
    <t xml:space="preserve">P1</t>
  </si>
  <si>
    <t xml:space="preserve">직접 검출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</si>
  <si>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</si>
  <si>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</si>
  <si>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</si>
  <si>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</si>
  <si>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</si>
  <si>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</si>
  <si>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위치 추론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점이 글자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표선에 가려져 보이지 않아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가림 정도와 블롭 응답으로 추정한 자리</t>
    </r>
  </si>
  <si>
    <r>
      <rPr>
        <b val="true"/>
        <sz val="14"/>
        <rFont val="Noto Sans CJK SC"/>
        <family val="2"/>
      </rPr>
      <t xml:space="preserve">합성 변형 견고성 </t>
    </r>
    <r>
      <rPr>
        <b val="true"/>
        <sz val="14"/>
        <rFont val="Arial"/>
        <family val="0"/>
        <charset val="1"/>
      </rPr>
      <t xml:space="preserve">(v7.1 JS, 13</t>
    </r>
    <r>
      <rPr>
        <b val="true"/>
        <sz val="14"/>
        <rFont val="Noto Sans CJK SC"/>
        <family val="2"/>
      </rPr>
      <t xml:space="preserve">장 </t>
    </r>
    <r>
      <rPr>
        <b val="true"/>
        <sz val="14"/>
        <rFont val="Arial"/>
        <family val="0"/>
        <charset val="1"/>
      </rPr>
      <t xml:space="preserve">× 17</t>
    </r>
    <r>
      <rPr>
        <b val="true"/>
        <sz val="14"/>
        <rFont val="Noto Sans CJK SC"/>
        <family val="2"/>
      </rPr>
      <t xml:space="preserve">종</t>
    </r>
    <r>
      <rPr>
        <b val="true"/>
        <sz val="14"/>
        <rFont val="Arial"/>
        <family val="0"/>
        <charset val="1"/>
      </rPr>
      <t xml:space="preserve">)</t>
    </r>
  </si>
  <si>
    <t xml:space="preserve">변형</t>
  </si>
  <si>
    <t xml:space="preserve">설명</t>
  </si>
  <si>
    <t xml:space="preserve">문서 일치</t>
  </si>
  <si>
    <t xml:space="preserve">자리 일치</t>
  </si>
  <si>
    <t xml:space="preserve">전체 자리</t>
  </si>
  <si>
    <t xml:space="preserve">clean</t>
  </si>
  <si>
    <t xml:space="preserve">원본</t>
  </si>
  <si>
    <t xml:space="preserve">rot0.5</t>
  </si>
  <si>
    <r>
      <rPr>
        <sz val="11"/>
        <color theme="1"/>
        <rFont val="Arial"/>
        <family val="0"/>
        <charset val="1"/>
      </rPr>
      <t xml:space="preserve">0.5° </t>
    </r>
    <r>
      <rPr>
        <sz val="11"/>
        <color theme="1"/>
        <rFont val="Noto Sans CJK SC"/>
        <family val="2"/>
      </rPr>
      <t xml:space="preserve">회전</t>
    </r>
  </si>
  <si>
    <t xml:space="preserve">rot-0.8</t>
  </si>
  <si>
    <r>
      <rPr>
        <sz val="11"/>
        <color theme="1"/>
        <rFont val="Arial"/>
        <family val="0"/>
        <charset val="1"/>
      </rPr>
      <t xml:space="preserve">-0.8° </t>
    </r>
    <r>
      <rPr>
        <sz val="11"/>
        <color theme="1"/>
        <rFont val="Noto Sans CJK SC"/>
        <family val="2"/>
      </rPr>
      <t xml:space="preserve">회전</t>
    </r>
  </si>
  <si>
    <t xml:space="preserve">rot1.2</t>
  </si>
  <si>
    <r>
      <rPr>
        <sz val="11"/>
        <color theme="1"/>
        <rFont val="Arial"/>
        <family val="0"/>
        <charset val="1"/>
      </rPr>
      <t xml:space="preserve">1.2° </t>
    </r>
    <r>
      <rPr>
        <sz val="11"/>
        <color theme="1"/>
        <rFont val="Noto Sans CJK SC"/>
        <family val="2"/>
      </rPr>
      <t xml:space="preserve">회전</t>
    </r>
  </si>
  <si>
    <t xml:space="preserve">rot-1.5</t>
  </si>
  <si>
    <r>
      <rPr>
        <sz val="11"/>
        <color theme="1"/>
        <rFont val="Arial"/>
        <family val="0"/>
        <charset val="1"/>
      </rPr>
      <t xml:space="preserve">-1.5° </t>
    </r>
    <r>
      <rPr>
        <sz val="11"/>
        <color theme="1"/>
        <rFont val="Noto Sans CJK SC"/>
        <family val="2"/>
      </rPr>
      <t xml:space="preserve">회전</t>
    </r>
  </si>
  <si>
    <t xml:space="preserve">blur0.7</t>
  </si>
  <si>
    <r>
      <rPr>
        <sz val="11"/>
        <color theme="1"/>
        <rFont val="Noto Sans CJK SC"/>
        <family val="2"/>
      </rPr>
      <t xml:space="preserve">가우시안 흐림 </t>
    </r>
    <r>
      <rPr>
        <sz val="11"/>
        <color theme="1"/>
        <rFont val="Arial"/>
        <family val="0"/>
        <charset val="1"/>
      </rPr>
      <t xml:space="preserve">σ0.7</t>
    </r>
  </si>
  <si>
    <t xml:space="preserve">blur1.0</t>
  </si>
  <si>
    <r>
      <rPr>
        <sz val="11"/>
        <color theme="1"/>
        <rFont val="Noto Sans CJK SC"/>
        <family val="2"/>
      </rPr>
      <t xml:space="preserve">가우시안 흐림 </t>
    </r>
    <r>
      <rPr>
        <sz val="11"/>
        <color theme="1"/>
        <rFont val="Arial"/>
        <family val="0"/>
        <charset val="1"/>
      </rPr>
      <t xml:space="preserve">σ1.0</t>
    </r>
  </si>
  <si>
    <t xml:space="preserve">blur1.3</t>
  </si>
  <si>
    <r>
      <rPr>
        <sz val="11"/>
        <color theme="1"/>
        <rFont val="Noto Sans CJK SC"/>
        <family val="2"/>
      </rPr>
      <t xml:space="preserve">가우시안 흐림 </t>
    </r>
    <r>
      <rPr>
        <sz val="11"/>
        <color theme="1"/>
        <rFont val="Arial"/>
        <family val="0"/>
        <charset val="1"/>
      </rPr>
      <t xml:space="preserve">σ1.3 (</t>
    </r>
    <r>
      <rPr>
        <sz val="11"/>
        <color theme="1"/>
        <rFont val="Noto Sans CJK SC"/>
        <family val="2"/>
      </rPr>
      <t xml:space="preserve">강함</t>
    </r>
    <r>
      <rPr>
        <sz val="11"/>
        <color theme="1"/>
        <rFont val="Arial"/>
        <family val="0"/>
        <charset val="1"/>
      </rPr>
      <t xml:space="preserve">)</t>
    </r>
  </si>
  <si>
    <t xml:space="preserve">noise6</t>
  </si>
  <si>
    <r>
      <rPr>
        <sz val="11"/>
        <color theme="1"/>
        <rFont val="Noto Sans CJK SC"/>
        <family val="2"/>
      </rPr>
      <t xml:space="preserve">노이즈 </t>
    </r>
    <r>
      <rPr>
        <sz val="11"/>
        <color theme="1"/>
        <rFont val="Arial"/>
        <family val="0"/>
        <charset val="1"/>
      </rPr>
      <t xml:space="preserve">σ6</t>
    </r>
  </si>
  <si>
    <t xml:space="preserve">noise12</t>
  </si>
  <si>
    <r>
      <rPr>
        <sz val="11"/>
        <color theme="1"/>
        <rFont val="Noto Sans CJK SC"/>
        <family val="2"/>
      </rPr>
      <t xml:space="preserve">노이즈 </t>
    </r>
    <r>
      <rPr>
        <sz val="11"/>
        <color theme="1"/>
        <rFont val="Arial"/>
        <family val="0"/>
        <charset val="1"/>
      </rPr>
      <t xml:space="preserve">σ12 (</t>
    </r>
    <r>
      <rPr>
        <sz val="11"/>
        <color theme="1"/>
        <rFont val="Noto Sans CJK SC"/>
        <family val="2"/>
      </rPr>
      <t xml:space="preserve">강함</t>
    </r>
    <r>
      <rPr>
        <sz val="11"/>
        <color theme="1"/>
        <rFont val="Arial"/>
        <family val="0"/>
        <charset val="1"/>
      </rPr>
      <t xml:space="preserve">)</t>
    </r>
  </si>
  <si>
    <t xml:space="preserve">bright-40</t>
  </si>
  <si>
    <r>
      <rPr>
        <sz val="11"/>
        <color theme="1"/>
        <rFont val="Noto Sans CJK SC"/>
        <family val="2"/>
      </rPr>
      <t xml:space="preserve">밝기 </t>
    </r>
    <r>
      <rPr>
        <sz val="11"/>
        <color theme="1"/>
        <rFont val="Arial"/>
        <family val="0"/>
        <charset val="1"/>
      </rPr>
      <t xml:space="preserve">-40</t>
    </r>
  </si>
  <si>
    <t xml:space="preserve">contrast0.6</t>
  </si>
  <si>
    <r>
      <rPr>
        <sz val="11"/>
        <color theme="1"/>
        <rFont val="Noto Sans CJK SC"/>
        <family val="2"/>
      </rPr>
      <t xml:space="preserve">대비 </t>
    </r>
    <r>
      <rPr>
        <sz val="11"/>
        <color theme="1"/>
        <rFont val="Arial"/>
        <family val="0"/>
        <charset val="1"/>
      </rPr>
      <t xml:space="preserve">60%</t>
    </r>
  </si>
  <si>
    <t xml:space="preserve">jpeg40</t>
  </si>
  <si>
    <r>
      <rPr>
        <sz val="11"/>
        <color theme="1"/>
        <rFont val="Arial"/>
        <family val="0"/>
        <charset val="1"/>
      </rPr>
      <t xml:space="preserve">JPEG </t>
    </r>
    <r>
      <rPr>
        <sz val="11"/>
        <color theme="1"/>
        <rFont val="Noto Sans CJK SC"/>
        <family val="2"/>
      </rPr>
      <t xml:space="preserve">품질 </t>
    </r>
    <r>
      <rPr>
        <sz val="11"/>
        <color theme="1"/>
        <rFont val="Arial"/>
        <family val="0"/>
        <charset val="1"/>
      </rPr>
      <t xml:space="preserve">40</t>
    </r>
  </si>
  <si>
    <t xml:space="preserve">scale0.82</t>
  </si>
  <si>
    <r>
      <rPr>
        <sz val="11"/>
        <color theme="1"/>
        <rFont val="Arial"/>
        <family val="0"/>
        <charset val="1"/>
      </rPr>
      <t xml:space="preserve">82% </t>
    </r>
    <r>
      <rPr>
        <sz val="11"/>
        <color theme="1"/>
        <rFont val="Noto Sans CJK SC"/>
        <family val="2"/>
      </rPr>
      <t xml:space="preserve">축소 </t>
    </r>
    <r>
      <rPr>
        <sz val="11"/>
        <color theme="1"/>
        <rFont val="Arial"/>
        <family val="0"/>
        <charset val="1"/>
      </rPr>
      <t xml:space="preserve">(≈180dpi/246dpi)</t>
    </r>
  </si>
  <si>
    <t xml:space="preserve">scale0.65</t>
  </si>
  <si>
    <r>
      <rPr>
        <sz val="11"/>
        <color theme="1"/>
        <rFont val="Arial"/>
        <family val="0"/>
        <charset val="1"/>
      </rPr>
      <t xml:space="preserve">65% </t>
    </r>
    <r>
      <rPr>
        <sz val="11"/>
        <color theme="1"/>
        <rFont val="Noto Sans CJK SC"/>
        <family val="2"/>
      </rPr>
      <t xml:space="preserve">축소 </t>
    </r>
    <r>
      <rPr>
        <sz val="11"/>
        <color theme="1"/>
        <rFont val="Arial"/>
        <family val="0"/>
        <charset val="1"/>
      </rPr>
      <t xml:space="preserve">(≈144dpi/195dpi)</t>
    </r>
  </si>
  <si>
    <t xml:space="preserve">shift8</t>
  </si>
  <si>
    <r>
      <rPr>
        <sz val="11"/>
        <color theme="1"/>
        <rFont val="Arial"/>
        <family val="0"/>
        <charset val="1"/>
      </rPr>
      <t xml:space="preserve">8px </t>
    </r>
    <r>
      <rPr>
        <sz val="11"/>
        <color theme="1"/>
        <rFont val="Noto Sans CJK SC"/>
        <family val="2"/>
      </rPr>
      <t xml:space="preserve">이동</t>
    </r>
  </si>
  <si>
    <t xml:space="preserve">shift-8</t>
  </si>
  <si>
    <r>
      <rPr>
        <sz val="11"/>
        <color theme="1"/>
        <rFont val="Arial"/>
        <family val="0"/>
        <charset val="1"/>
      </rPr>
      <t xml:space="preserve">-8px </t>
    </r>
    <r>
      <rPr>
        <sz val="11"/>
        <color theme="1"/>
        <rFont val="Noto Sans CJK SC"/>
        <family val="2"/>
      </rPr>
      <t xml:space="preserve">이동</t>
    </r>
  </si>
  <si>
    <t xml:space="preserve">합계</t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</si>
  <si>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원본에서도 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자리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가려진 점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가 틀리므로 자리 일치율의 상한은 약 </t>
    </r>
    <r>
      <rPr>
        <i val="true"/>
        <sz val="9"/>
        <color rgb="FF666666"/>
        <rFont val="Arial"/>
        <family val="0"/>
        <charset val="1"/>
      </rPr>
      <t xml:space="preserve">98%</t>
    </r>
    <r>
      <rPr>
        <i val="true"/>
        <sz val="9"/>
        <color rgb="FF666666"/>
        <rFont val="Noto Sans CJK SC"/>
        <family val="2"/>
      </rPr>
      <t xml:space="preserve">입니다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</si>
  <si>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표시 확률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실제 정확도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변형 테스트 전체 자리</t>
    </r>
    <r>
      <rPr>
        <b val="true"/>
        <sz val="14"/>
        <rFont val="Arial"/>
        <family val="0"/>
        <charset val="1"/>
      </rPr>
      <t xml:space="preserve">)</t>
    </r>
  </si>
  <si>
    <t xml:space="preserve">표시 확률 구간</t>
  </si>
  <si>
    <t xml:space="preserve">하한</t>
  </si>
  <si>
    <t xml:space="preserve">상한</t>
  </si>
  <si>
    <t xml:space="preserve">자리 수</t>
  </si>
  <si>
    <t xml:space="preserve">실제 정확도</t>
  </si>
  <si>
    <t xml:space="preserve">정답 자리 수</t>
  </si>
  <si>
    <r>
      <rPr>
        <sz val="11"/>
        <color theme="1"/>
        <rFont val="Arial"/>
        <family val="0"/>
        <charset val="1"/>
      </rPr>
      <t xml:space="preserve">0% ~ 50% </t>
    </r>
    <r>
      <rPr>
        <sz val="11"/>
        <color theme="1"/>
        <rFont val="Noto Sans CJK SC"/>
        <family val="2"/>
      </rPr>
      <t xml:space="preserve">미만</t>
    </r>
  </si>
  <si>
    <r>
      <rPr>
        <sz val="11"/>
        <color theme="1"/>
        <rFont val="Arial"/>
        <family val="0"/>
        <charset val="1"/>
      </rPr>
      <t xml:space="preserve">50% ~ 70% </t>
    </r>
    <r>
      <rPr>
        <sz val="11"/>
        <color theme="1"/>
        <rFont val="Noto Sans CJK SC"/>
        <family val="2"/>
      </rPr>
      <t xml:space="preserve">미만</t>
    </r>
  </si>
  <si>
    <r>
      <rPr>
        <sz val="11"/>
        <color theme="1"/>
        <rFont val="Arial"/>
        <family val="0"/>
        <charset val="1"/>
      </rPr>
      <t xml:space="preserve">70% ~ 80% </t>
    </r>
    <r>
      <rPr>
        <sz val="11"/>
        <color theme="1"/>
        <rFont val="Noto Sans CJK SC"/>
        <family val="2"/>
      </rPr>
      <t xml:space="preserve">미만</t>
    </r>
  </si>
  <si>
    <r>
      <rPr>
        <sz val="11"/>
        <color theme="1"/>
        <rFont val="Arial"/>
        <family val="0"/>
        <charset val="1"/>
      </rPr>
      <t xml:space="preserve">80% ~ 90% </t>
    </r>
    <r>
      <rPr>
        <sz val="11"/>
        <color theme="1"/>
        <rFont val="Noto Sans CJK SC"/>
        <family val="2"/>
      </rPr>
      <t xml:space="preserve">미만</t>
    </r>
  </si>
  <si>
    <t xml:space="preserve">90% ~ 100%</t>
  </si>
  <si>
    <r>
      <rPr>
        <i val="true"/>
        <sz val="9"/>
        <color rgb="FF666666"/>
        <rFont val="Arial"/>
        <family val="0"/>
        <charset val="1"/>
      </rPr>
      <t xml:space="preserve">· 90% </t>
    </r>
    <r>
      <rPr>
        <i val="true"/>
        <sz val="9"/>
        <color rgb="FF666666"/>
        <rFont val="Noto Sans CJK SC"/>
        <family val="2"/>
      </rPr>
      <t xml:space="preserve">이상으로 표시된 자리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마지막 행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는 거의 항상 맞습니다</t>
    </r>
    <r>
      <rPr>
        <i val="true"/>
        <sz val="9"/>
        <color rgb="FF666666"/>
        <rFont val="Arial"/>
        <family val="0"/>
        <charset val="1"/>
      </rPr>
      <t xml:space="preserve">. 80% </t>
    </r>
    <r>
      <rPr>
        <i val="true"/>
        <sz val="9"/>
        <color rgb="FF666666"/>
        <rFont val="Noto Sans CJK SC"/>
        <family val="2"/>
      </rPr>
      <t xml:space="preserve">미만 자리는 원본 출력물과 육안 대조를 권장합니다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</si>
  <si>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자리 수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정답 자리 수는 변형 테스트</t>
    </r>
    <r>
      <rPr>
        <i val="true"/>
        <sz val="9"/>
        <color rgb="FF666666"/>
        <rFont val="Arial"/>
        <family val="0"/>
        <charset val="1"/>
      </rPr>
      <t xml:space="preserve">(13</t>
    </r>
    <r>
      <rPr>
        <i val="true"/>
        <sz val="9"/>
        <color rgb="FF666666"/>
        <rFont val="Noto Sans CJK SC"/>
        <family val="2"/>
      </rPr>
      <t xml:space="preserve">장 </t>
    </r>
    <r>
      <rPr>
        <i val="true"/>
        <sz val="9"/>
        <color rgb="FF666666"/>
        <rFont val="Arial"/>
        <family val="0"/>
        <charset val="1"/>
      </rPr>
      <t xml:space="preserve">× 17</t>
    </r>
    <r>
      <rPr>
        <i val="true"/>
        <sz val="9"/>
        <color rgb="FF666666"/>
        <rFont val="Noto Sans CJK SC"/>
        <family val="2"/>
      </rPr>
      <t xml:space="preserve">종 </t>
    </r>
    <r>
      <rPr>
        <i val="true"/>
        <sz val="9"/>
        <color rgb="FF666666"/>
        <rFont val="Arial"/>
        <family val="0"/>
        <charset val="1"/>
      </rPr>
      <t xml:space="preserve">× 8</t>
    </r>
    <r>
      <rPr>
        <i val="true"/>
        <sz val="9"/>
        <color rgb="FF666666"/>
        <rFont val="Noto Sans CJK SC"/>
        <family val="2"/>
      </rPr>
      <t xml:space="preserve">자리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Noto Sans CJK SC"/>
        <family val="2"/>
      </rPr>
      <t xml:space="preserve">실행 결과에서 집계한 값입니다</t>
    </r>
    <r>
      <rPr>
        <i val="true"/>
        <sz val="9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</si>
</sst>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@"/>
    <numFmt numFmtId="168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sz val="11"/>
      <color theme="1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A7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9"/>
      </left>
      <right style="thin">
        <color rgb="FFC8CED9"/>
      </right>
      <top style="thin">
        <color rgb="FFC8CED9"/>
      </top>
      <bottom style="thin">
        <color rgb="FFC8C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DFF3E4"/>
        </patternFill>
      </fill>
    </dxf>
    <dxf>
      <fill>
        <patternFill>
          <bgColor rgb="FFFBE0DE"/>
        </patternFill>
      </fill>
    </dxf>
    <dxf>
      <fill>
        <patternFill patternType="solid">
          <fgColor rgb="FF2F4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0D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8C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BE0D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  <c r="B3" s="4" t="s">
        <v>3</v>
      </c>
      <c r="C3" s="4" t="s">
        <v>4</v>
      </c>
      <c r="D3" s="3" t="s">
        <v>5</v>
      </c>
    </row>
    <row r="4" customFormat="false" ht="17.15" hidden="false" customHeight="false" outlineLevel="0" collapsed="false">
      <c r="A4" s="5" t="s">
        <v>6</v>
      </c>
      <c r="B4" s="6" t="n">
        <f aca="false">COUNTA('문서별 결과'!A3:A15)</f>
        <v>13</v>
      </c>
      <c r="C4" s="6" t="n">
        <f aca="false">COUNTA('문서별 결과'!A3:A15)</f>
        <v>13</v>
      </c>
      <c r="D4" s="5" t="s">
        <v>7</v>
      </c>
    </row>
    <row r="5" customFormat="false" ht="15" hidden="false" customHeight="false" outlineLevel="0" collapsed="false">
      <c r="A5" s="5" t="s">
        <v>8</v>
      </c>
      <c r="B5" s="6" t="n">
        <f aca="false">COUNTIF('문서별 결과'!H3:H15,"일치")</f>
        <v>3</v>
      </c>
      <c r="C5" s="6" t="n">
        <f aca="false">COUNTIF('문서별 결과'!K3:K15,"일치")</f>
        <v>11</v>
      </c>
      <c r="D5" s="5"/>
    </row>
    <row r="6" customFormat="false" ht="15" hidden="false" customHeight="false" outlineLevel="0" collapsed="false">
      <c r="A6" s="5" t="s">
        <v>9</v>
      </c>
      <c r="B6" s="7" t="n">
        <f aca="false">B5/B4</f>
        <v>0.230769230769231</v>
      </c>
      <c r="C6" s="7" t="n">
        <f aca="false">C5/C4</f>
        <v>0.846153846153846</v>
      </c>
      <c r="D6" s="5"/>
    </row>
    <row r="7" customFormat="false" ht="17.15" hidden="false" customHeight="false" outlineLevel="0" collapsed="false">
      <c r="A7" s="5" t="s">
        <v>10</v>
      </c>
      <c r="B7" s="6" t="n">
        <f aca="false">SUM('문서별 결과'!I3:I15)</f>
        <v>33</v>
      </c>
      <c r="C7" s="6" t="n">
        <f aca="false">SUM('문서별 결과'!L3:L15)</f>
        <v>102</v>
      </c>
      <c r="D7" s="5"/>
    </row>
    <row r="8" customFormat="false" ht="15" hidden="false" customHeight="false" outlineLevel="0" collapsed="false">
      <c r="A8" s="5" t="s">
        <v>11</v>
      </c>
      <c r="B8" s="7" t="n">
        <f aca="false">B7/(B4*8)</f>
        <v>0.317307692307692</v>
      </c>
      <c r="C8" s="7" t="n">
        <f aca="false">C7/(C4*8)</f>
        <v>0.980769230769231</v>
      </c>
      <c r="D8" s="5"/>
    </row>
    <row r="9" customFormat="false" ht="17.15" hidden="false" customHeight="false" outlineLevel="0" collapsed="false">
      <c r="A9" s="5" t="s">
        <v>12</v>
      </c>
      <c r="B9" s="6" t="n">
        <f aca="false">COUNTIF('문서별 결과'!H3:H10,"일치")</f>
        <v>0</v>
      </c>
      <c r="C9" s="6" t="n">
        <f aca="false">COUNTIF('문서별 결과'!K3:K10,"일치")</f>
        <v>6</v>
      </c>
      <c r="D9" s="8" t="s">
        <v>13</v>
      </c>
    </row>
    <row r="10" customFormat="false" ht="17.15" hidden="false" customHeight="false" outlineLevel="0" collapsed="false">
      <c r="A10" s="5" t="s">
        <v>14</v>
      </c>
      <c r="B10" s="7"/>
      <c r="C10" s="7" t="n">
        <f aca="false">SUM('변형 테스트'!D3:D19)/SUM('변형 테스트'!E3:E19)</f>
        <v>0.976244343891403</v>
      </c>
      <c r="D10" s="8" t="s">
        <v>15</v>
      </c>
    </row>
    <row r="11" customFormat="false" ht="17.15" hidden="false" customHeight="false" outlineLevel="0" collapsed="false">
      <c r="A11" s="5" t="s">
        <v>16</v>
      </c>
      <c r="B11" s="7"/>
      <c r="C11" s="7" t="n">
        <f aca="false">'신뢰도 보정'!E7</f>
        <v>0.998689384010485</v>
      </c>
      <c r="D11" s="5" t="s">
        <v>17</v>
      </c>
    </row>
    <row r="14" customFormat="false" ht="15" hidden="false" customHeight="false" outlineLevel="0" collapsed="false">
      <c r="A14" s="9" t="s">
        <v>18</v>
      </c>
    </row>
    <row r="15" customFormat="false" ht="17.15" hidden="false" customHeight="false" outlineLevel="0" collapsed="false">
      <c r="A15" s="10" t="s">
        <v>19</v>
      </c>
    </row>
    <row r="16" customFormat="false" ht="17.15" hidden="false" customHeight="false" outlineLevel="0" collapsed="false">
      <c r="A16" s="10" t="s">
        <v>20</v>
      </c>
    </row>
    <row r="17" customFormat="false" ht="17.15" hidden="false" customHeight="false" outlineLevel="0" collapsed="false">
      <c r="A17" s="1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9" min="7" style="0" width="10"/>
    <col collapsed="false" customWidth="true" hidden="false" outlineLevel="0" max="10" min="10" style="0" width="11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false" outlineLevel="0" max="15" min="15" style="0" width="40"/>
  </cols>
  <sheetData>
    <row r="1" customFormat="false" ht="21.6" hidden="false" customHeight="false" outlineLevel="0" collapsed="false">
      <c r="A1" s="1" t="s">
        <v>22</v>
      </c>
    </row>
    <row r="2" customFormat="false" ht="32.8" hidden="false" customHeight="fals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3" t="s">
        <v>36</v>
      </c>
      <c r="O2" s="3" t="s">
        <v>5</v>
      </c>
    </row>
    <row r="3" customFormat="false" ht="17.15" hidden="false" customHeight="false" outlineLevel="0" collapsed="false">
      <c r="A3" s="6" t="s">
        <v>37</v>
      </c>
      <c r="B3" s="6" t="s">
        <v>38</v>
      </c>
      <c r="C3" s="11" t="s">
        <v>39</v>
      </c>
      <c r="D3" s="6" t="s">
        <v>40</v>
      </c>
      <c r="E3" s="12" t="s">
        <v>41</v>
      </c>
      <c r="F3" s="12" t="s">
        <v>42</v>
      </c>
      <c r="G3" s="13" t="n">
        <v>0.45</v>
      </c>
      <c r="H3" s="14" t="str">
        <f aca="false">IF(F3=E3,"일치","불일치")</f>
        <v>불일치</v>
      </c>
      <c r="I3" s="6" t="n">
        <f aca="false">IF(LEN(F3)=8,SUMPRODUCT(--(MID(F3,{1,2,3,4,5,6,7,8},1)=MID(E3,{1,2,3,4,5,6,7,8},1))),0)</f>
        <v>0</v>
      </c>
      <c r="J3" s="12" t="s">
        <v>41</v>
      </c>
      <c r="K3" s="14" t="str">
        <f aca="false">IF(J3=E3,"일치","불일치")</f>
        <v>일치</v>
      </c>
      <c r="L3" s="6" t="n">
        <f aca="false">SUMPRODUCT(--(MID(J3,{1,2,3,4,5,6,7,8},1)=MID(E3,{1,2,3,4,5,6,7,8},1)))</f>
        <v>8</v>
      </c>
      <c r="M3" s="13" t="n">
        <v>0.39</v>
      </c>
      <c r="N3" s="6" t="n">
        <v>4</v>
      </c>
      <c r="O3" s="11" t="s">
        <v>43</v>
      </c>
    </row>
    <row r="4" customFormat="false" ht="17.15" hidden="false" customHeight="false" outlineLevel="0" collapsed="false">
      <c r="A4" s="6" t="s">
        <v>44</v>
      </c>
      <c r="B4" s="6" t="s">
        <v>45</v>
      </c>
      <c r="C4" s="15" t="s">
        <v>46</v>
      </c>
      <c r="D4" s="6" t="s">
        <v>40</v>
      </c>
      <c r="E4" s="12" t="s">
        <v>47</v>
      </c>
      <c r="F4" s="12" t="s">
        <v>48</v>
      </c>
      <c r="G4" s="13" t="n">
        <v>0.51</v>
      </c>
      <c r="H4" s="14" t="str">
        <f aca="false">IF(F4=E4,"일치","불일치")</f>
        <v>불일치</v>
      </c>
      <c r="I4" s="6" t="n">
        <f aca="false">IF(LEN(F4)=8,SUMPRODUCT(--(MID(F4,{1,2,3,4,5,6,7,8},1)=MID(E4,{1,2,3,4,5,6,7,8},1))),0)</f>
        <v>2</v>
      </c>
      <c r="J4" s="12" t="s">
        <v>47</v>
      </c>
      <c r="K4" s="14" t="str">
        <f aca="false">IF(J4=E4,"일치","불일치")</f>
        <v>일치</v>
      </c>
      <c r="L4" s="6" t="n">
        <f aca="false">SUMPRODUCT(--(MID(J4,{1,2,3,4,5,6,7,8},1)=MID(E4,{1,2,3,4,5,6,7,8},1)))</f>
        <v>8</v>
      </c>
      <c r="M4" s="13" t="n">
        <v>0.75</v>
      </c>
      <c r="N4" s="6" t="n">
        <v>2</v>
      </c>
      <c r="O4" s="15"/>
    </row>
    <row r="5" customFormat="false" ht="17.15" hidden="false" customHeight="false" outlineLevel="0" collapsed="false">
      <c r="A5" s="6" t="s">
        <v>49</v>
      </c>
      <c r="B5" s="6" t="s">
        <v>50</v>
      </c>
      <c r="C5" s="11" t="s">
        <v>51</v>
      </c>
      <c r="D5" s="6" t="s">
        <v>40</v>
      </c>
      <c r="E5" s="12" t="s">
        <v>52</v>
      </c>
      <c r="F5" s="12" t="s">
        <v>53</v>
      </c>
      <c r="G5" s="13" t="n">
        <v>0.45</v>
      </c>
      <c r="H5" s="14" t="str">
        <f aca="false">IF(F5=E5,"일치","불일치")</f>
        <v>불일치</v>
      </c>
      <c r="I5" s="6" t="n">
        <f aca="false">IF(LEN(F5)=8,SUMPRODUCT(--(MID(F5,{1,2,3,4,5,6,7,8},1)=MID(E5,{1,2,3,4,5,6,7,8},1))),0)</f>
        <v>2</v>
      </c>
      <c r="J5" s="12" t="s">
        <v>52</v>
      </c>
      <c r="K5" s="14" t="str">
        <f aca="false">IF(J5=E5,"일치","불일치")</f>
        <v>일치</v>
      </c>
      <c r="L5" s="6" t="n">
        <f aca="false">SUMPRODUCT(--(MID(J5,{1,2,3,4,5,6,7,8},1)=MID(E5,{1,2,3,4,5,6,7,8},1)))</f>
        <v>8</v>
      </c>
      <c r="M5" s="13" t="n">
        <v>0.83</v>
      </c>
      <c r="N5" s="6" t="n">
        <v>2</v>
      </c>
      <c r="O5" s="15"/>
    </row>
    <row r="6" customFormat="false" ht="17.15" hidden="false" customHeight="false" outlineLevel="0" collapsed="false">
      <c r="A6" s="6" t="s">
        <v>54</v>
      </c>
      <c r="B6" s="6" t="s">
        <v>55</v>
      </c>
      <c r="C6" s="15" t="s">
        <v>56</v>
      </c>
      <c r="D6" s="6" t="s">
        <v>40</v>
      </c>
      <c r="E6" s="12" t="s">
        <v>57</v>
      </c>
      <c r="F6" s="12" t="s">
        <v>58</v>
      </c>
      <c r="G6" s="13" t="n">
        <v>0.46</v>
      </c>
      <c r="H6" s="14" t="str">
        <f aca="false">IF(F6=E6,"일치","불일치")</f>
        <v>불일치</v>
      </c>
      <c r="I6" s="6" t="n">
        <f aca="false">IF(LEN(F6)=8,SUMPRODUCT(--(MID(F6,{1,2,3,4,5,6,7,8},1)=MID(E6,{1,2,3,4,5,6,7,8},1))),0)</f>
        <v>0</v>
      </c>
      <c r="J6" s="12" t="s">
        <v>57</v>
      </c>
      <c r="K6" s="14" t="str">
        <f aca="false">IF(J6=E6,"일치","불일치")</f>
        <v>일치</v>
      </c>
      <c r="L6" s="6" t="n">
        <f aca="false">SUMPRODUCT(--(MID(J6,{1,2,3,4,5,6,7,8},1)=MID(E6,{1,2,3,4,5,6,7,8},1)))</f>
        <v>8</v>
      </c>
      <c r="M6" s="13" t="n">
        <v>0.84</v>
      </c>
      <c r="N6" s="6" t="n">
        <v>1</v>
      </c>
      <c r="O6" s="15"/>
    </row>
    <row r="7" customFormat="false" ht="32.8" hidden="false" customHeight="false" outlineLevel="0" collapsed="false">
      <c r="A7" s="6" t="s">
        <v>59</v>
      </c>
      <c r="B7" s="6" t="s">
        <v>60</v>
      </c>
      <c r="C7" s="11" t="s">
        <v>61</v>
      </c>
      <c r="D7" s="6" t="s">
        <v>40</v>
      </c>
      <c r="E7" s="12" t="s">
        <v>62</v>
      </c>
      <c r="F7" s="12" t="s">
        <v>63</v>
      </c>
      <c r="G7" s="13" t="n">
        <v>0.46</v>
      </c>
      <c r="H7" s="14" t="str">
        <f aca="false">IF(F7=E7,"일치","불일치")</f>
        <v>불일치</v>
      </c>
      <c r="I7" s="6" t="n">
        <f aca="false">IF(LEN(F7)=8,SUMPRODUCT(--(MID(F7,{1,2,3,4,5,6,7,8},1)=MID(E7,{1,2,3,4,5,6,7,8},1))),0)</f>
        <v>1</v>
      </c>
      <c r="J7" s="12" t="s">
        <v>64</v>
      </c>
      <c r="K7" s="14" t="str">
        <f aca="false">IF(J7=E7,"일치","불일치")</f>
        <v>불일치</v>
      </c>
      <c r="L7" s="6" t="n">
        <f aca="false">SUMPRODUCT(--(MID(J7,{1,2,3,4,5,6,7,8},1)=MID(E7,{1,2,3,4,5,6,7,8},1)))</f>
        <v>7</v>
      </c>
      <c r="M7" s="13" t="n">
        <v>0.53</v>
      </c>
      <c r="N7" s="6" t="n">
        <v>2</v>
      </c>
      <c r="O7" s="11" t="s">
        <v>65</v>
      </c>
    </row>
    <row r="8" customFormat="false" ht="17.15" hidden="false" customHeight="false" outlineLevel="0" collapsed="false">
      <c r="A8" s="6" t="s">
        <v>66</v>
      </c>
      <c r="B8" s="6" t="s">
        <v>67</v>
      </c>
      <c r="C8" s="15" t="s">
        <v>68</v>
      </c>
      <c r="D8" s="6" t="s">
        <v>40</v>
      </c>
      <c r="E8" s="12" t="s">
        <v>69</v>
      </c>
      <c r="F8" s="12" t="s">
        <v>70</v>
      </c>
      <c r="G8" s="13" t="n">
        <v>0.59</v>
      </c>
      <c r="H8" s="14" t="str">
        <f aca="false">IF(F8=E8,"일치","불일치")</f>
        <v>불일치</v>
      </c>
      <c r="I8" s="6" t="n">
        <f aca="false">IF(LEN(F8)=8,SUMPRODUCT(--(MID(F8,{1,2,3,4,5,6,7,8},1)=MID(E8,{1,2,3,4,5,6,7,8},1))),0)</f>
        <v>1</v>
      </c>
      <c r="J8" s="12" t="s">
        <v>69</v>
      </c>
      <c r="K8" s="14" t="str">
        <f aca="false">IF(J8=E8,"일치","불일치")</f>
        <v>일치</v>
      </c>
      <c r="L8" s="6" t="n">
        <f aca="false">SUMPRODUCT(--(MID(J8,{1,2,3,4,5,6,7,8},1)=MID(E8,{1,2,3,4,5,6,7,8},1)))</f>
        <v>8</v>
      </c>
      <c r="M8" s="13" t="n">
        <v>0.9</v>
      </c>
      <c r="N8" s="6" t="n">
        <v>3</v>
      </c>
      <c r="O8" s="15"/>
    </row>
    <row r="9" customFormat="false" ht="17.15" hidden="false" customHeight="false" outlineLevel="0" collapsed="false">
      <c r="A9" s="6" t="s">
        <v>71</v>
      </c>
      <c r="B9" s="6" t="s">
        <v>72</v>
      </c>
      <c r="C9" s="15" t="s">
        <v>73</v>
      </c>
      <c r="D9" s="6" t="s">
        <v>40</v>
      </c>
      <c r="E9" s="12" t="s">
        <v>74</v>
      </c>
      <c r="F9" s="12" t="s">
        <v>75</v>
      </c>
      <c r="G9" s="13" t="n">
        <v>0.76</v>
      </c>
      <c r="H9" s="14" t="str">
        <f aca="false">IF(F9=E9,"일치","불일치")</f>
        <v>불일치</v>
      </c>
      <c r="I9" s="6" t="n">
        <f aca="false">IF(LEN(F9)=8,SUMPRODUCT(--(MID(F9,{1,2,3,4,5,6,7,8},1)=MID(E9,{1,2,3,4,5,6,7,8},1))),0)</f>
        <v>2</v>
      </c>
      <c r="J9" s="12" t="s">
        <v>74</v>
      </c>
      <c r="K9" s="14" t="str">
        <f aca="false">IF(J9=E9,"일치","불일치")</f>
        <v>일치</v>
      </c>
      <c r="L9" s="6" t="n">
        <f aca="false">SUMPRODUCT(--(MID(J9,{1,2,3,4,5,6,7,8},1)=MID(E9,{1,2,3,4,5,6,7,8},1)))</f>
        <v>8</v>
      </c>
      <c r="M9" s="13" t="n">
        <v>0.31</v>
      </c>
      <c r="N9" s="6" t="n">
        <v>2</v>
      </c>
      <c r="O9" s="15"/>
    </row>
    <row r="10" customFormat="false" ht="29.85" hidden="false" customHeight="false" outlineLevel="0" collapsed="false">
      <c r="A10" s="6" t="s">
        <v>76</v>
      </c>
      <c r="B10" s="6" t="s">
        <v>77</v>
      </c>
      <c r="C10" s="15" t="s">
        <v>78</v>
      </c>
      <c r="D10" s="6" t="s">
        <v>40</v>
      </c>
      <c r="E10" s="12" t="s">
        <v>79</v>
      </c>
      <c r="F10" s="12" t="s">
        <v>80</v>
      </c>
      <c r="G10" s="13" t="n">
        <v>0.03</v>
      </c>
      <c r="H10" s="14" t="str">
        <f aca="false">IF(F10=E10,"일치","불일치")</f>
        <v>불일치</v>
      </c>
      <c r="I10" s="6" t="n">
        <f aca="false">IF(LEN(F10)=8,SUMPRODUCT(--(MID(F10,{1,2,3,4,5,6,7,8},1)=MID(E10,{1,2,3,4,5,6,7,8},1))),0)</f>
        <v>1</v>
      </c>
      <c r="J10" s="12" t="s">
        <v>81</v>
      </c>
      <c r="K10" s="14" t="str">
        <f aca="false">IF(J10=E10,"일치","불일치")</f>
        <v>불일치</v>
      </c>
      <c r="L10" s="6" t="n">
        <f aca="false">SUMPRODUCT(--(MID(J10,{1,2,3,4,5,6,7,8},1)=MID(E10,{1,2,3,4,5,6,7,8},1)))</f>
        <v>7</v>
      </c>
      <c r="M10" s="13" t="n">
        <v>0.37</v>
      </c>
      <c r="N10" s="6" t="n">
        <v>2</v>
      </c>
      <c r="O10" s="11" t="s">
        <v>82</v>
      </c>
    </row>
    <row r="11" customFormat="false" ht="17.15" hidden="false" customHeight="false" outlineLevel="0" collapsed="false">
      <c r="A11" s="6" t="s">
        <v>83</v>
      </c>
      <c r="B11" s="6" t="s">
        <v>84</v>
      </c>
      <c r="C11" s="15" t="s">
        <v>85</v>
      </c>
      <c r="D11" s="6" t="s">
        <v>86</v>
      </c>
      <c r="E11" s="12" t="s">
        <v>87</v>
      </c>
      <c r="F11" s="12" t="s">
        <v>87</v>
      </c>
      <c r="G11" s="13" t="n">
        <v>0.98</v>
      </c>
      <c r="H11" s="14" t="str">
        <f aca="false">IF(F11=E11,"일치","불일치")</f>
        <v>일치</v>
      </c>
      <c r="I11" s="6" t="n">
        <f aca="false">IF(LEN(F11)=8,SUMPRODUCT(--(MID(F11,{1,2,3,4,5,6,7,8},1)=MID(E11,{1,2,3,4,5,6,7,8},1))),0)</f>
        <v>8</v>
      </c>
      <c r="J11" s="12" t="s">
        <v>87</v>
      </c>
      <c r="K11" s="14" t="str">
        <f aca="false">IF(J11=E11,"일치","불일치")</f>
        <v>일치</v>
      </c>
      <c r="L11" s="6" t="n">
        <f aca="false">SUMPRODUCT(--(MID(J11,{1,2,3,4,5,6,7,8},1)=MID(E11,{1,2,3,4,5,6,7,8},1)))</f>
        <v>8</v>
      </c>
      <c r="M11" s="13" t="n">
        <v>1</v>
      </c>
      <c r="N11" s="6" t="n">
        <v>0</v>
      </c>
      <c r="O11" s="15"/>
    </row>
    <row r="12" customFormat="false" ht="17.15" hidden="false" customHeight="false" outlineLevel="0" collapsed="false">
      <c r="A12" s="6" t="s">
        <v>88</v>
      </c>
      <c r="B12" s="6" t="s">
        <v>89</v>
      </c>
      <c r="C12" s="11" t="s">
        <v>90</v>
      </c>
      <c r="D12" s="6" t="s">
        <v>86</v>
      </c>
      <c r="E12" s="12" t="s">
        <v>91</v>
      </c>
      <c r="F12" s="12" t="s">
        <v>91</v>
      </c>
      <c r="G12" s="13" t="n">
        <v>0.95</v>
      </c>
      <c r="H12" s="14" t="str">
        <f aca="false">IF(F12=E12,"일치","불일치")</f>
        <v>일치</v>
      </c>
      <c r="I12" s="6" t="n">
        <f aca="false">IF(LEN(F12)=8,SUMPRODUCT(--(MID(F12,{1,2,3,4,5,6,7,8},1)=MID(E12,{1,2,3,4,5,6,7,8},1))),0)</f>
        <v>8</v>
      </c>
      <c r="J12" s="12" t="s">
        <v>91</v>
      </c>
      <c r="K12" s="14" t="str">
        <f aca="false">IF(J12=E12,"일치","불일치")</f>
        <v>일치</v>
      </c>
      <c r="L12" s="6" t="n">
        <f aca="false">SUMPRODUCT(--(MID(J12,{1,2,3,4,5,6,7,8},1)=MID(E12,{1,2,3,4,5,6,7,8},1)))</f>
        <v>8</v>
      </c>
      <c r="M12" s="13" t="n">
        <v>1</v>
      </c>
      <c r="N12" s="6" t="n">
        <v>1</v>
      </c>
      <c r="O12" s="15"/>
    </row>
    <row r="13" customFormat="false" ht="17.15" hidden="false" customHeight="false" outlineLevel="0" collapsed="false">
      <c r="A13" s="6" t="s">
        <v>92</v>
      </c>
      <c r="B13" s="6" t="s">
        <v>93</v>
      </c>
      <c r="C13" s="15" t="s">
        <v>94</v>
      </c>
      <c r="D13" s="6" t="s">
        <v>86</v>
      </c>
      <c r="E13" s="12" t="s">
        <v>95</v>
      </c>
      <c r="F13" s="12" t="s">
        <v>95</v>
      </c>
      <c r="G13" s="13" t="n">
        <v>0.94</v>
      </c>
      <c r="H13" s="14" t="str">
        <f aca="false">IF(F13=E13,"일치","불일치")</f>
        <v>일치</v>
      </c>
      <c r="I13" s="6" t="n">
        <f aca="false">IF(LEN(F13)=8,SUMPRODUCT(--(MID(F13,{1,2,3,4,5,6,7,8},1)=MID(E13,{1,2,3,4,5,6,7,8},1))),0)</f>
        <v>8</v>
      </c>
      <c r="J13" s="12" t="s">
        <v>95</v>
      </c>
      <c r="K13" s="14" t="str">
        <f aca="false">IF(J13=E13,"일치","불일치")</f>
        <v>일치</v>
      </c>
      <c r="L13" s="6" t="n">
        <f aca="false">SUMPRODUCT(--(MID(J13,{1,2,3,4,5,6,7,8},1)=MID(E13,{1,2,3,4,5,6,7,8},1)))</f>
        <v>8</v>
      </c>
      <c r="M13" s="13" t="n">
        <v>1</v>
      </c>
      <c r="N13" s="6" t="n">
        <v>1</v>
      </c>
      <c r="O13" s="15"/>
    </row>
    <row r="14" customFormat="false" ht="17.15" hidden="false" customHeight="false" outlineLevel="0" collapsed="false">
      <c r="A14" s="6" t="s">
        <v>96</v>
      </c>
      <c r="B14" s="6" t="s">
        <v>97</v>
      </c>
      <c r="C14" s="15" t="s">
        <v>98</v>
      </c>
      <c r="D14" s="6" t="s">
        <v>86</v>
      </c>
      <c r="E14" s="12" t="s">
        <v>99</v>
      </c>
      <c r="F14" s="16" t="s">
        <v>100</v>
      </c>
      <c r="G14" s="13"/>
      <c r="H14" s="14" t="str">
        <f aca="false">IF(F14=E14,"일치","불일치")</f>
        <v>불일치</v>
      </c>
      <c r="I14" s="6" t="n">
        <f aca="false">IF(LEN(F14)=8,SUMPRODUCT(--(MID(F14,{1,2,3,4,5,6,7,8},1)=MID(E14,{1,2,3,4,5,6,7,8},1))),0)</f>
        <v>0</v>
      </c>
      <c r="J14" s="12" t="s">
        <v>99</v>
      </c>
      <c r="K14" s="14" t="str">
        <f aca="false">IF(J14=E14,"일치","불일치")</f>
        <v>일치</v>
      </c>
      <c r="L14" s="6" t="n">
        <f aca="false">SUMPRODUCT(--(MID(J14,{1,2,3,4,5,6,7,8},1)=MID(E14,{1,2,3,4,5,6,7,8},1)))</f>
        <v>8</v>
      </c>
      <c r="M14" s="13" t="n">
        <v>1</v>
      </c>
      <c r="N14" s="6" t="n">
        <v>0</v>
      </c>
      <c r="O14" s="11" t="s">
        <v>101</v>
      </c>
    </row>
    <row r="15" customFormat="false" ht="17.15" hidden="false" customHeight="false" outlineLevel="0" collapsed="false">
      <c r="A15" s="6" t="s">
        <v>102</v>
      </c>
      <c r="B15" s="6" t="s">
        <v>103</v>
      </c>
      <c r="C15" s="15" t="s">
        <v>98</v>
      </c>
      <c r="D15" s="6" t="s">
        <v>86</v>
      </c>
      <c r="E15" s="12" t="s">
        <v>104</v>
      </c>
      <c r="F15" s="16" t="s">
        <v>100</v>
      </c>
      <c r="G15" s="13"/>
      <c r="H15" s="14" t="str">
        <f aca="false">IF(F15=E15,"일치","불일치")</f>
        <v>불일치</v>
      </c>
      <c r="I15" s="6" t="n">
        <f aca="false">IF(LEN(F15)=8,SUMPRODUCT(--(MID(F15,{1,2,3,4,5,6,7,8},1)=MID(E15,{1,2,3,4,5,6,7,8},1))),0)</f>
        <v>0</v>
      </c>
      <c r="J15" s="12" t="s">
        <v>104</v>
      </c>
      <c r="K15" s="14" t="str">
        <f aca="false">IF(J15=E15,"일치","불일치")</f>
        <v>일치</v>
      </c>
      <c r="L15" s="6" t="n">
        <f aca="false">SUMPRODUCT(--(MID(J15,{1,2,3,4,5,6,7,8},1)=MID(E15,{1,2,3,4,5,6,7,8},1)))</f>
        <v>8</v>
      </c>
      <c r="M15" s="13" t="n">
        <v>0.62</v>
      </c>
      <c r="N15" s="6" t="n">
        <v>2</v>
      </c>
      <c r="O15" s="11" t="s">
        <v>101</v>
      </c>
    </row>
    <row r="17" customFormat="false" ht="15" hidden="false" customHeight="false" outlineLevel="0" collapsed="false">
      <c r="A17" s="17" t="s">
        <v>105</v>
      </c>
    </row>
  </sheetData>
  <conditionalFormatting sqref="H3:H15">
    <cfRule type="cellIs" priority="2" operator="equal" aboveAverage="0" equalAverage="0" bottom="0" percent="0" rank="0" text="" dxfId="0">
      <formula>"일치"</formula>
    </cfRule>
    <cfRule type="cellIs" priority="3" operator="equal" aboveAverage="0" equalAverage="0" bottom="0" percent="0" rank="0" text="" dxfId="1">
      <formula>"불일치"</formula>
    </cfRule>
  </conditionalFormatting>
  <conditionalFormatting sqref="K3:K15">
    <cfRule type="cellIs" priority="4" operator="equal" aboveAverage="0" equalAverage="0" bottom="0" percent="0" rank="0" text="" dxfId="0">
      <formula>"일치"</formula>
    </cfRule>
    <cfRule type="cellIs" priority="5" operator="equal" aboveAverage="0" equalAverage="0" bottom="0" percent="0" rank="0" text="" dxfId="1">
      <formula>"불일치"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6" min="5" style="0" width="9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21.6" hidden="false" customHeight="false" outlineLevel="0" collapsed="false">
      <c r="A1" s="1" t="s">
        <v>106</v>
      </c>
    </row>
    <row r="2" customFormat="false" ht="32.8" hidden="false" customHeight="false" outlineLevel="0" collapsed="false">
      <c r="A2" s="3" t="s">
        <v>23</v>
      </c>
      <c r="B2" s="3" t="s">
        <v>107</v>
      </c>
      <c r="C2" s="3" t="s">
        <v>108</v>
      </c>
      <c r="D2" s="3" t="s">
        <v>109</v>
      </c>
      <c r="E2" s="3" t="s">
        <v>110</v>
      </c>
      <c r="F2" s="3" t="s">
        <v>111</v>
      </c>
      <c r="G2" s="3" t="s">
        <v>112</v>
      </c>
      <c r="H2" s="4" t="s">
        <v>113</v>
      </c>
      <c r="I2" s="4" t="s">
        <v>114</v>
      </c>
    </row>
    <row r="3" customFormat="false" ht="17.15" hidden="false" customHeight="false" outlineLevel="0" collapsed="false">
      <c r="A3" s="6" t="s">
        <v>37</v>
      </c>
      <c r="B3" s="6" t="s">
        <v>115</v>
      </c>
      <c r="C3" s="6" t="n">
        <v>7</v>
      </c>
      <c r="D3" s="6" t="n">
        <v>7</v>
      </c>
      <c r="E3" s="14" t="str">
        <f aca="false">IF(C3=D3,"O","X")</f>
        <v>O</v>
      </c>
      <c r="F3" s="7" t="n">
        <v>0.994</v>
      </c>
      <c r="G3" s="14" t="s">
        <v>116</v>
      </c>
      <c r="H3" s="6" t="n">
        <v>0</v>
      </c>
      <c r="I3" s="13" t="n">
        <v>0</v>
      </c>
    </row>
    <row r="4" customFormat="false" ht="17.15" hidden="false" customHeight="false" outlineLevel="0" collapsed="false">
      <c r="A4" s="6" t="s">
        <v>37</v>
      </c>
      <c r="B4" s="6" t="s">
        <v>117</v>
      </c>
      <c r="C4" s="6" t="n">
        <v>7</v>
      </c>
      <c r="D4" s="6" t="n">
        <v>7</v>
      </c>
      <c r="E4" s="14" t="str">
        <f aca="false">IF(C4=D4,"O","X")</f>
        <v>O</v>
      </c>
      <c r="F4" s="7" t="n">
        <v>1</v>
      </c>
      <c r="G4" s="14" t="s">
        <v>118</v>
      </c>
      <c r="H4" s="6" t="n">
        <v>4</v>
      </c>
      <c r="I4" s="13" t="n">
        <v>0</v>
      </c>
    </row>
    <row r="5" customFormat="false" ht="17.15" hidden="false" customHeight="false" outlineLevel="0" collapsed="false">
      <c r="A5" s="6" t="s">
        <v>37</v>
      </c>
      <c r="B5" s="6" t="s">
        <v>119</v>
      </c>
      <c r="C5" s="6" t="n">
        <v>0</v>
      </c>
      <c r="D5" s="6" t="n">
        <v>0</v>
      </c>
      <c r="E5" s="14" t="str">
        <f aca="false">IF(C5=D5,"O","X")</f>
        <v>O</v>
      </c>
      <c r="F5" s="7" t="n">
        <v>1</v>
      </c>
      <c r="G5" s="14" t="s">
        <v>116</v>
      </c>
      <c r="H5" s="6" t="n">
        <v>6</v>
      </c>
      <c r="I5" s="13" t="n">
        <v>0</v>
      </c>
    </row>
    <row r="6" customFormat="false" ht="17.15" hidden="false" customHeight="false" outlineLevel="0" collapsed="false">
      <c r="A6" s="6" t="s">
        <v>37</v>
      </c>
      <c r="B6" s="6" t="s">
        <v>120</v>
      </c>
      <c r="C6" s="6" t="n">
        <v>1</v>
      </c>
      <c r="D6" s="6" t="n">
        <v>1</v>
      </c>
      <c r="E6" s="14" t="str">
        <f aca="false">IF(C6=D6,"O","X")</f>
        <v>O</v>
      </c>
      <c r="F6" s="7" t="n">
        <v>1</v>
      </c>
      <c r="G6" s="14" t="s">
        <v>118</v>
      </c>
      <c r="H6" s="6" t="n">
        <v>6</v>
      </c>
      <c r="I6" s="13" t="n">
        <v>0</v>
      </c>
    </row>
    <row r="7" customFormat="false" ht="17.15" hidden="false" customHeight="false" outlineLevel="0" collapsed="false">
      <c r="A7" s="6" t="s">
        <v>37</v>
      </c>
      <c r="B7" s="6" t="s">
        <v>121</v>
      </c>
      <c r="C7" s="6" t="n">
        <v>3</v>
      </c>
      <c r="D7" s="6" t="n">
        <v>3</v>
      </c>
      <c r="E7" s="14" t="str">
        <f aca="false">IF(C7=D7,"O","X")</f>
        <v>O</v>
      </c>
      <c r="F7" s="7" t="n">
        <v>0.66</v>
      </c>
      <c r="G7" s="14" t="s">
        <v>116</v>
      </c>
      <c r="H7" s="6" t="n">
        <v>2</v>
      </c>
      <c r="I7" s="13" t="n">
        <v>0.12</v>
      </c>
    </row>
    <row r="8" customFormat="false" ht="17.15" hidden="false" customHeight="false" outlineLevel="0" collapsed="false">
      <c r="A8" s="6" t="s">
        <v>37</v>
      </c>
      <c r="B8" s="6" t="s">
        <v>122</v>
      </c>
      <c r="C8" s="6" t="n">
        <v>0</v>
      </c>
      <c r="D8" s="6" t="n">
        <v>0</v>
      </c>
      <c r="E8" s="14" t="str">
        <f aca="false">IF(C8=D8,"O","X")</f>
        <v>O</v>
      </c>
      <c r="F8" s="7" t="n">
        <v>0.597</v>
      </c>
      <c r="G8" s="14" t="s">
        <v>116</v>
      </c>
      <c r="H8" s="6" t="n">
        <v>2</v>
      </c>
      <c r="I8" s="13" t="n">
        <v>0.12</v>
      </c>
    </row>
    <row r="9" customFormat="false" ht="17.15" hidden="false" customHeight="false" outlineLevel="0" collapsed="false">
      <c r="A9" s="6" t="s">
        <v>37</v>
      </c>
      <c r="B9" s="6" t="s">
        <v>123</v>
      </c>
      <c r="C9" s="6" t="n">
        <v>4</v>
      </c>
      <c r="D9" s="6" t="n">
        <v>4</v>
      </c>
      <c r="E9" s="14" t="str">
        <f aca="false">IF(C9=D9,"O","X")</f>
        <v>O</v>
      </c>
      <c r="F9" s="7" t="n">
        <v>1</v>
      </c>
      <c r="G9" s="14" t="s">
        <v>118</v>
      </c>
      <c r="H9" s="6" t="n">
        <v>0</v>
      </c>
      <c r="I9" s="13" t="n">
        <v>0</v>
      </c>
    </row>
    <row r="10" customFormat="false" ht="17.15" hidden="false" customHeight="false" outlineLevel="0" collapsed="false">
      <c r="A10" s="6" t="s">
        <v>37</v>
      </c>
      <c r="B10" s="6" t="s">
        <v>124</v>
      </c>
      <c r="C10" s="6" t="n">
        <v>6</v>
      </c>
      <c r="D10" s="6" t="n">
        <v>6</v>
      </c>
      <c r="E10" s="14" t="str">
        <f aca="false">IF(C10=D10,"O","X")</f>
        <v>O</v>
      </c>
      <c r="F10" s="7" t="n">
        <v>1</v>
      </c>
      <c r="G10" s="14" t="s">
        <v>118</v>
      </c>
      <c r="H10" s="6" t="n">
        <v>0</v>
      </c>
      <c r="I10" s="13" t="n">
        <v>0</v>
      </c>
    </row>
    <row r="11" customFormat="false" ht="17.15" hidden="false" customHeight="false" outlineLevel="0" collapsed="false">
      <c r="A11" s="6" t="s">
        <v>44</v>
      </c>
      <c r="B11" s="6" t="s">
        <v>115</v>
      </c>
      <c r="C11" s="6" t="n">
        <v>5</v>
      </c>
      <c r="D11" s="6" t="n">
        <v>5</v>
      </c>
      <c r="E11" s="14" t="str">
        <f aca="false">IF(C11=D11,"O","X")</f>
        <v>O</v>
      </c>
      <c r="F11" s="7" t="n">
        <v>1</v>
      </c>
      <c r="G11" s="14" t="s">
        <v>118</v>
      </c>
      <c r="H11" s="6" t="n">
        <v>7</v>
      </c>
      <c r="I11" s="13" t="n">
        <v>0</v>
      </c>
    </row>
    <row r="12" customFormat="false" ht="17.15" hidden="false" customHeight="false" outlineLevel="0" collapsed="false">
      <c r="A12" s="6" t="s">
        <v>44</v>
      </c>
      <c r="B12" s="6" t="s">
        <v>117</v>
      </c>
      <c r="C12" s="6" t="n">
        <v>5</v>
      </c>
      <c r="D12" s="6" t="n">
        <v>5</v>
      </c>
      <c r="E12" s="14" t="str">
        <f aca="false">IF(C12=D12,"O","X")</f>
        <v>O</v>
      </c>
      <c r="F12" s="7" t="n">
        <v>1</v>
      </c>
      <c r="G12" s="14" t="s">
        <v>118</v>
      </c>
      <c r="H12" s="6" t="n">
        <v>4</v>
      </c>
      <c r="I12" s="13" t="n">
        <v>0</v>
      </c>
    </row>
    <row r="13" customFormat="false" ht="17.15" hidden="false" customHeight="false" outlineLevel="0" collapsed="false">
      <c r="A13" s="6" t="s">
        <v>44</v>
      </c>
      <c r="B13" s="6" t="s">
        <v>119</v>
      </c>
      <c r="C13" s="6" t="n">
        <v>2</v>
      </c>
      <c r="D13" s="6" t="n">
        <v>2</v>
      </c>
      <c r="E13" s="14" t="str">
        <f aca="false">IF(C13=D13,"O","X")</f>
        <v>O</v>
      </c>
      <c r="F13" s="7" t="n">
        <v>1</v>
      </c>
      <c r="G13" s="14" t="s">
        <v>118</v>
      </c>
      <c r="H13" s="6" t="n">
        <v>5</v>
      </c>
      <c r="I13" s="13" t="n">
        <v>0</v>
      </c>
    </row>
    <row r="14" customFormat="false" ht="17.15" hidden="false" customHeight="false" outlineLevel="0" collapsed="false">
      <c r="A14" s="6" t="s">
        <v>44</v>
      </c>
      <c r="B14" s="6" t="s">
        <v>120</v>
      </c>
      <c r="C14" s="6" t="n">
        <v>2</v>
      </c>
      <c r="D14" s="6" t="n">
        <v>2</v>
      </c>
      <c r="E14" s="14" t="str">
        <f aca="false">IF(C14=D14,"O","X")</f>
        <v>O</v>
      </c>
      <c r="F14" s="7" t="n">
        <v>1</v>
      </c>
      <c r="G14" s="14" t="s">
        <v>118</v>
      </c>
      <c r="H14" s="6" t="n">
        <v>4</v>
      </c>
      <c r="I14" s="13" t="n">
        <v>0</v>
      </c>
    </row>
    <row r="15" customFormat="false" ht="17.15" hidden="false" customHeight="false" outlineLevel="0" collapsed="false">
      <c r="A15" s="6" t="s">
        <v>44</v>
      </c>
      <c r="B15" s="6" t="s">
        <v>121</v>
      </c>
      <c r="C15" s="6" t="n">
        <v>3</v>
      </c>
      <c r="D15" s="6" t="n">
        <v>3</v>
      </c>
      <c r="E15" s="14" t="str">
        <f aca="false">IF(C15=D15,"O","X")</f>
        <v>O</v>
      </c>
      <c r="F15" s="7" t="n">
        <v>0.755</v>
      </c>
      <c r="G15" s="14" t="s">
        <v>116</v>
      </c>
      <c r="H15" s="6" t="n">
        <v>6</v>
      </c>
      <c r="I15" s="13" t="n">
        <v>0.21</v>
      </c>
    </row>
    <row r="16" customFormat="false" ht="17.15" hidden="false" customHeight="false" outlineLevel="0" collapsed="false">
      <c r="A16" s="6" t="s">
        <v>44</v>
      </c>
      <c r="B16" s="6" t="s">
        <v>122</v>
      </c>
      <c r="C16" s="6" t="n">
        <v>0</v>
      </c>
      <c r="D16" s="6" t="n">
        <v>0</v>
      </c>
      <c r="E16" s="14" t="str">
        <f aca="false">IF(C16=D16,"O","X")</f>
        <v>O</v>
      </c>
      <c r="F16" s="7" t="n">
        <v>0.992</v>
      </c>
      <c r="G16" s="14" t="s">
        <v>116</v>
      </c>
      <c r="H16" s="6" t="n">
        <v>1</v>
      </c>
      <c r="I16" s="13" t="n">
        <v>0.01</v>
      </c>
    </row>
    <row r="17" customFormat="false" ht="17.15" hidden="false" customHeight="false" outlineLevel="0" collapsed="false">
      <c r="A17" s="6" t="s">
        <v>44</v>
      </c>
      <c r="B17" s="6" t="s">
        <v>123</v>
      </c>
      <c r="C17" s="6" t="n">
        <v>4</v>
      </c>
      <c r="D17" s="6" t="n">
        <v>4</v>
      </c>
      <c r="E17" s="14" t="str">
        <f aca="false">IF(C17=D17,"O","X")</f>
        <v>O</v>
      </c>
      <c r="F17" s="7" t="n">
        <v>1</v>
      </c>
      <c r="G17" s="14" t="s">
        <v>118</v>
      </c>
      <c r="H17" s="6" t="n">
        <v>0</v>
      </c>
      <c r="I17" s="13" t="n">
        <v>0</v>
      </c>
    </row>
    <row r="18" customFormat="false" ht="17.15" hidden="false" customHeight="false" outlineLevel="0" collapsed="false">
      <c r="A18" s="6" t="s">
        <v>44</v>
      </c>
      <c r="B18" s="6" t="s">
        <v>124</v>
      </c>
      <c r="C18" s="6" t="n">
        <v>6</v>
      </c>
      <c r="D18" s="6" t="n">
        <v>6</v>
      </c>
      <c r="E18" s="14" t="str">
        <f aca="false">IF(C18=D18,"O","X")</f>
        <v>O</v>
      </c>
      <c r="F18" s="7" t="n">
        <v>1</v>
      </c>
      <c r="G18" s="14" t="s">
        <v>118</v>
      </c>
      <c r="H18" s="6" t="n">
        <v>0</v>
      </c>
      <c r="I18" s="13" t="n">
        <v>0</v>
      </c>
    </row>
    <row r="19" customFormat="false" ht="17.15" hidden="false" customHeight="false" outlineLevel="0" collapsed="false">
      <c r="A19" s="6" t="s">
        <v>49</v>
      </c>
      <c r="B19" s="6" t="s">
        <v>115</v>
      </c>
      <c r="C19" s="6" t="n">
        <v>7</v>
      </c>
      <c r="D19" s="6" t="n">
        <v>7</v>
      </c>
      <c r="E19" s="14" t="str">
        <f aca="false">IF(C19=D19,"O","X")</f>
        <v>O</v>
      </c>
      <c r="F19" s="7" t="n">
        <v>1</v>
      </c>
      <c r="G19" s="14" t="s">
        <v>118</v>
      </c>
      <c r="H19" s="6" t="n">
        <v>0</v>
      </c>
      <c r="I19" s="13" t="n">
        <v>0</v>
      </c>
    </row>
    <row r="20" customFormat="false" ht="17.15" hidden="false" customHeight="false" outlineLevel="0" collapsed="false">
      <c r="A20" s="6" t="s">
        <v>49</v>
      </c>
      <c r="B20" s="6" t="s">
        <v>117</v>
      </c>
      <c r="C20" s="6" t="n">
        <v>3</v>
      </c>
      <c r="D20" s="6" t="n">
        <v>3</v>
      </c>
      <c r="E20" s="14" t="str">
        <f aca="false">IF(C20=D20,"O","X")</f>
        <v>O</v>
      </c>
      <c r="F20" s="7" t="n">
        <v>1</v>
      </c>
      <c r="G20" s="14" t="s">
        <v>118</v>
      </c>
      <c r="H20" s="6" t="n">
        <v>0</v>
      </c>
      <c r="I20" s="13" t="n">
        <v>0</v>
      </c>
    </row>
    <row r="21" customFormat="false" ht="17.15" hidden="false" customHeight="false" outlineLevel="0" collapsed="false">
      <c r="A21" s="6" t="s">
        <v>49</v>
      </c>
      <c r="B21" s="6" t="s">
        <v>119</v>
      </c>
      <c r="C21" s="6" t="n">
        <v>5</v>
      </c>
      <c r="D21" s="6" t="n">
        <v>5</v>
      </c>
      <c r="E21" s="14" t="str">
        <f aca="false">IF(C21=D21,"O","X")</f>
        <v>O</v>
      </c>
      <c r="F21" s="7" t="n">
        <v>1</v>
      </c>
      <c r="G21" s="14" t="s">
        <v>118</v>
      </c>
      <c r="H21" s="6" t="n">
        <v>1</v>
      </c>
      <c r="I21" s="13" t="n">
        <v>0</v>
      </c>
    </row>
    <row r="22" customFormat="false" ht="17.15" hidden="false" customHeight="false" outlineLevel="0" collapsed="false">
      <c r="A22" s="6" t="s">
        <v>49</v>
      </c>
      <c r="B22" s="6" t="s">
        <v>120</v>
      </c>
      <c r="C22" s="6" t="n">
        <v>0</v>
      </c>
      <c r="D22" s="6" t="n">
        <v>0</v>
      </c>
      <c r="E22" s="14" t="str">
        <f aca="false">IF(C22=D22,"O","X")</f>
        <v>O</v>
      </c>
      <c r="F22" s="7" t="n">
        <v>0.977</v>
      </c>
      <c r="G22" s="14" t="s">
        <v>116</v>
      </c>
      <c r="H22" s="6" t="n">
        <v>1</v>
      </c>
      <c r="I22" s="13" t="n">
        <v>0.01</v>
      </c>
    </row>
    <row r="23" customFormat="false" ht="17.15" hidden="false" customHeight="false" outlineLevel="0" collapsed="false">
      <c r="A23" s="6" t="s">
        <v>49</v>
      </c>
      <c r="B23" s="6" t="s">
        <v>121</v>
      </c>
      <c r="C23" s="6" t="n">
        <v>5</v>
      </c>
      <c r="D23" s="6" t="n">
        <v>5</v>
      </c>
      <c r="E23" s="14" t="str">
        <f aca="false">IF(C23=D23,"O","X")</f>
        <v>O</v>
      </c>
      <c r="F23" s="7" t="n">
        <v>1</v>
      </c>
      <c r="G23" s="14" t="s">
        <v>118</v>
      </c>
      <c r="H23" s="6" t="n">
        <v>3</v>
      </c>
      <c r="I23" s="13" t="n">
        <v>0</v>
      </c>
    </row>
    <row r="24" customFormat="false" ht="17.15" hidden="false" customHeight="false" outlineLevel="0" collapsed="false">
      <c r="A24" s="6" t="s">
        <v>49</v>
      </c>
      <c r="B24" s="6" t="s">
        <v>122</v>
      </c>
      <c r="C24" s="6" t="n">
        <v>0</v>
      </c>
      <c r="D24" s="6" t="n">
        <v>0</v>
      </c>
      <c r="E24" s="14" t="str">
        <f aca="false">IF(C24=D24,"O","X")</f>
        <v>O</v>
      </c>
      <c r="F24" s="7" t="n">
        <v>0.852</v>
      </c>
      <c r="G24" s="14" t="s">
        <v>116</v>
      </c>
      <c r="H24" s="6" t="n">
        <v>5</v>
      </c>
      <c r="I24" s="13" t="n">
        <v>0.14</v>
      </c>
    </row>
    <row r="25" customFormat="false" ht="17.15" hidden="false" customHeight="false" outlineLevel="0" collapsed="false">
      <c r="A25" s="6" t="s">
        <v>49</v>
      </c>
      <c r="B25" s="6" t="s">
        <v>123</v>
      </c>
      <c r="C25" s="6" t="n">
        <v>4</v>
      </c>
      <c r="D25" s="6" t="n">
        <v>4</v>
      </c>
      <c r="E25" s="14" t="str">
        <f aca="false">IF(C25=D25,"O","X")</f>
        <v>O</v>
      </c>
      <c r="F25" s="7" t="n">
        <v>1</v>
      </c>
      <c r="G25" s="14" t="s">
        <v>118</v>
      </c>
      <c r="H25" s="6" t="n">
        <v>2</v>
      </c>
      <c r="I25" s="13" t="n">
        <v>0</v>
      </c>
    </row>
    <row r="26" customFormat="false" ht="17.15" hidden="false" customHeight="false" outlineLevel="0" collapsed="false">
      <c r="A26" s="6" t="s">
        <v>49</v>
      </c>
      <c r="B26" s="6" t="s">
        <v>124</v>
      </c>
      <c r="C26" s="6" t="n">
        <v>6</v>
      </c>
      <c r="D26" s="6" t="n">
        <v>6</v>
      </c>
      <c r="E26" s="14" t="str">
        <f aca="false">IF(C26=D26,"O","X")</f>
        <v>O</v>
      </c>
      <c r="F26" s="7" t="n">
        <v>1</v>
      </c>
      <c r="G26" s="14" t="s">
        <v>118</v>
      </c>
      <c r="H26" s="6" t="n">
        <v>0</v>
      </c>
      <c r="I26" s="13" t="n">
        <v>0</v>
      </c>
    </row>
    <row r="27" customFormat="false" ht="17.15" hidden="false" customHeight="false" outlineLevel="0" collapsed="false">
      <c r="A27" s="6" t="s">
        <v>54</v>
      </c>
      <c r="B27" s="6" t="s">
        <v>115</v>
      </c>
      <c r="C27" s="6" t="n">
        <v>1</v>
      </c>
      <c r="D27" s="6" t="n">
        <v>1</v>
      </c>
      <c r="E27" s="14" t="str">
        <f aca="false">IF(C27=D27,"O","X")</f>
        <v>O</v>
      </c>
      <c r="F27" s="7" t="n">
        <v>1</v>
      </c>
      <c r="G27" s="14" t="s">
        <v>118</v>
      </c>
      <c r="H27" s="6" t="n">
        <v>0</v>
      </c>
      <c r="I27" s="13" t="n">
        <v>0</v>
      </c>
    </row>
    <row r="28" customFormat="false" ht="17.15" hidden="false" customHeight="false" outlineLevel="0" collapsed="false">
      <c r="A28" s="6" t="s">
        <v>54</v>
      </c>
      <c r="B28" s="6" t="s">
        <v>117</v>
      </c>
      <c r="C28" s="6" t="n">
        <v>2</v>
      </c>
      <c r="D28" s="6" t="n">
        <v>2</v>
      </c>
      <c r="E28" s="14" t="str">
        <f aca="false">IF(C28=D28,"O","X")</f>
        <v>O</v>
      </c>
      <c r="F28" s="7" t="n">
        <v>1</v>
      </c>
      <c r="G28" s="14" t="s">
        <v>118</v>
      </c>
      <c r="H28" s="6" t="n">
        <v>0</v>
      </c>
      <c r="I28" s="13" t="n">
        <v>0</v>
      </c>
    </row>
    <row r="29" customFormat="false" ht="17.15" hidden="false" customHeight="false" outlineLevel="0" collapsed="false">
      <c r="A29" s="6" t="s">
        <v>54</v>
      </c>
      <c r="B29" s="6" t="s">
        <v>119</v>
      </c>
      <c r="C29" s="6" t="n">
        <v>5</v>
      </c>
      <c r="D29" s="6" t="n">
        <v>5</v>
      </c>
      <c r="E29" s="14" t="str">
        <f aca="false">IF(C29=D29,"O","X")</f>
        <v>O</v>
      </c>
      <c r="F29" s="7" t="n">
        <v>1</v>
      </c>
      <c r="G29" s="14" t="s">
        <v>118</v>
      </c>
      <c r="H29" s="6" t="n">
        <v>0</v>
      </c>
      <c r="I29" s="13" t="n">
        <v>0</v>
      </c>
    </row>
    <row r="30" customFormat="false" ht="17.15" hidden="false" customHeight="false" outlineLevel="0" collapsed="false">
      <c r="A30" s="6" t="s">
        <v>54</v>
      </c>
      <c r="B30" s="6" t="s">
        <v>120</v>
      </c>
      <c r="C30" s="6" t="n">
        <v>1</v>
      </c>
      <c r="D30" s="6" t="n">
        <v>1</v>
      </c>
      <c r="E30" s="14" t="str">
        <f aca="false">IF(C30=D30,"O","X")</f>
        <v>O</v>
      </c>
      <c r="F30" s="7" t="n">
        <v>1</v>
      </c>
      <c r="G30" s="14" t="s">
        <v>118</v>
      </c>
      <c r="H30" s="6" t="n">
        <v>4</v>
      </c>
      <c r="I30" s="13" t="n">
        <v>0</v>
      </c>
    </row>
    <row r="31" customFormat="false" ht="17.15" hidden="false" customHeight="false" outlineLevel="0" collapsed="false">
      <c r="A31" s="6" t="s">
        <v>54</v>
      </c>
      <c r="B31" s="6" t="s">
        <v>121</v>
      </c>
      <c r="C31" s="6" t="n">
        <v>5</v>
      </c>
      <c r="D31" s="6" t="n">
        <v>5</v>
      </c>
      <c r="E31" s="14" t="str">
        <f aca="false">IF(C31=D31,"O","X")</f>
        <v>O</v>
      </c>
      <c r="F31" s="7" t="n">
        <v>1</v>
      </c>
      <c r="G31" s="14" t="s">
        <v>118</v>
      </c>
      <c r="H31" s="6" t="n">
        <v>2</v>
      </c>
      <c r="I31" s="13" t="n">
        <v>0</v>
      </c>
    </row>
    <row r="32" customFormat="false" ht="17.15" hidden="false" customHeight="false" outlineLevel="0" collapsed="false">
      <c r="A32" s="6" t="s">
        <v>54</v>
      </c>
      <c r="B32" s="6" t="s">
        <v>122</v>
      </c>
      <c r="C32" s="6" t="n">
        <v>0</v>
      </c>
      <c r="D32" s="6" t="n">
        <v>0</v>
      </c>
      <c r="E32" s="14" t="str">
        <f aca="false">IF(C32=D32,"O","X")</f>
        <v>O</v>
      </c>
      <c r="F32" s="7" t="n">
        <v>0.839</v>
      </c>
      <c r="G32" s="14" t="s">
        <v>116</v>
      </c>
      <c r="H32" s="6" t="n">
        <v>4</v>
      </c>
      <c r="I32" s="13" t="n">
        <v>0.02</v>
      </c>
    </row>
    <row r="33" customFormat="false" ht="17.15" hidden="false" customHeight="false" outlineLevel="0" collapsed="false">
      <c r="A33" s="6" t="s">
        <v>54</v>
      </c>
      <c r="B33" s="6" t="s">
        <v>123</v>
      </c>
      <c r="C33" s="6" t="n">
        <v>4</v>
      </c>
      <c r="D33" s="6" t="n">
        <v>4</v>
      </c>
      <c r="E33" s="14" t="str">
        <f aca="false">IF(C33=D33,"O","X")</f>
        <v>O</v>
      </c>
      <c r="F33" s="7" t="n">
        <v>1</v>
      </c>
      <c r="G33" s="14" t="s">
        <v>118</v>
      </c>
      <c r="H33" s="6" t="n">
        <v>1</v>
      </c>
      <c r="I33" s="13" t="n">
        <v>0</v>
      </c>
    </row>
    <row r="34" customFormat="false" ht="17.15" hidden="false" customHeight="false" outlineLevel="0" collapsed="false">
      <c r="A34" s="6" t="s">
        <v>54</v>
      </c>
      <c r="B34" s="6" t="s">
        <v>124</v>
      </c>
      <c r="C34" s="6" t="n">
        <v>6</v>
      </c>
      <c r="D34" s="6" t="n">
        <v>6</v>
      </c>
      <c r="E34" s="14" t="str">
        <f aca="false">IF(C34=D34,"O","X")</f>
        <v>O</v>
      </c>
      <c r="F34" s="7" t="n">
        <v>1</v>
      </c>
      <c r="G34" s="14" t="s">
        <v>118</v>
      </c>
      <c r="H34" s="6" t="n">
        <v>0</v>
      </c>
      <c r="I34" s="13" t="n">
        <v>0</v>
      </c>
    </row>
    <row r="35" customFormat="false" ht="17.15" hidden="false" customHeight="false" outlineLevel="0" collapsed="false">
      <c r="A35" s="6" t="s">
        <v>59</v>
      </c>
      <c r="B35" s="6" t="s">
        <v>115</v>
      </c>
      <c r="C35" s="6" t="n">
        <v>3</v>
      </c>
      <c r="D35" s="6" t="n">
        <v>3</v>
      </c>
      <c r="E35" s="14" t="str">
        <f aca="false">IF(C35=D35,"O","X")</f>
        <v>O</v>
      </c>
      <c r="F35" s="7" t="n">
        <v>1</v>
      </c>
      <c r="G35" s="14" t="s">
        <v>118</v>
      </c>
      <c r="H35" s="6" t="n">
        <v>0</v>
      </c>
      <c r="I35" s="13" t="n">
        <v>0</v>
      </c>
    </row>
    <row r="36" customFormat="false" ht="17.15" hidden="false" customHeight="false" outlineLevel="0" collapsed="false">
      <c r="A36" s="6" t="s">
        <v>59</v>
      </c>
      <c r="B36" s="6" t="s">
        <v>117</v>
      </c>
      <c r="C36" s="6" t="n">
        <v>6</v>
      </c>
      <c r="D36" s="6" t="n">
        <v>6</v>
      </c>
      <c r="E36" s="14" t="str">
        <f aca="false">IF(C36=D36,"O","X")</f>
        <v>O</v>
      </c>
      <c r="F36" s="7" t="n">
        <v>1</v>
      </c>
      <c r="G36" s="14" t="s">
        <v>118</v>
      </c>
      <c r="H36" s="6" t="n">
        <v>0</v>
      </c>
      <c r="I36" s="13" t="n">
        <v>0</v>
      </c>
    </row>
    <row r="37" customFormat="false" ht="17.15" hidden="false" customHeight="false" outlineLevel="0" collapsed="false">
      <c r="A37" s="6" t="s">
        <v>59</v>
      </c>
      <c r="B37" s="6" t="s">
        <v>119</v>
      </c>
      <c r="C37" s="6" t="n">
        <v>6</v>
      </c>
      <c r="D37" s="6" t="n">
        <v>6</v>
      </c>
      <c r="E37" s="14" t="str">
        <f aca="false">IF(C37=D37,"O","X")</f>
        <v>O</v>
      </c>
      <c r="F37" s="7" t="n">
        <v>1</v>
      </c>
      <c r="G37" s="14" t="s">
        <v>118</v>
      </c>
      <c r="H37" s="6" t="n">
        <v>0</v>
      </c>
      <c r="I37" s="13" t="n">
        <v>0</v>
      </c>
    </row>
    <row r="38" customFormat="false" ht="17.15" hidden="false" customHeight="false" outlineLevel="0" collapsed="false">
      <c r="A38" s="6" t="s">
        <v>59</v>
      </c>
      <c r="B38" s="6" t="s">
        <v>120</v>
      </c>
      <c r="C38" s="6" t="n">
        <v>2</v>
      </c>
      <c r="D38" s="6" t="n">
        <v>2</v>
      </c>
      <c r="E38" s="14" t="str">
        <f aca="false">IF(C38=D38,"O","X")</f>
        <v>O</v>
      </c>
      <c r="F38" s="7" t="n">
        <v>1</v>
      </c>
      <c r="G38" s="14" t="s">
        <v>118</v>
      </c>
      <c r="H38" s="6" t="n">
        <v>0</v>
      </c>
      <c r="I38" s="13" t="n">
        <v>0</v>
      </c>
    </row>
    <row r="39" customFormat="false" ht="17.15" hidden="false" customHeight="false" outlineLevel="0" collapsed="false">
      <c r="A39" s="6" t="s">
        <v>59</v>
      </c>
      <c r="B39" s="6" t="s">
        <v>121</v>
      </c>
      <c r="C39" s="6" t="n">
        <v>5</v>
      </c>
      <c r="D39" s="6" t="n">
        <v>3</v>
      </c>
      <c r="E39" s="14" t="str">
        <f aca="false">IF(C39=D39,"O","X")</f>
        <v>X</v>
      </c>
      <c r="F39" s="7" t="n">
        <v>0.854</v>
      </c>
      <c r="G39" s="14" t="s">
        <v>116</v>
      </c>
      <c r="H39" s="6" t="n">
        <v>5</v>
      </c>
      <c r="I39" s="13" t="n">
        <v>0.14</v>
      </c>
    </row>
    <row r="40" customFormat="false" ht="17.15" hidden="false" customHeight="false" outlineLevel="0" collapsed="false">
      <c r="A40" s="6" t="s">
        <v>59</v>
      </c>
      <c r="B40" s="6" t="s">
        <v>122</v>
      </c>
      <c r="C40" s="6" t="n">
        <v>0</v>
      </c>
      <c r="D40" s="6" t="n">
        <v>0</v>
      </c>
      <c r="E40" s="14" t="str">
        <f aca="false">IF(C40=D40,"O","X")</f>
        <v>O</v>
      </c>
      <c r="F40" s="7" t="n">
        <v>0.621</v>
      </c>
      <c r="G40" s="14" t="s">
        <v>116</v>
      </c>
      <c r="H40" s="6" t="n">
        <v>2</v>
      </c>
      <c r="I40" s="13" t="n">
        <v>0.3</v>
      </c>
    </row>
    <row r="41" customFormat="false" ht="17.15" hidden="false" customHeight="false" outlineLevel="0" collapsed="false">
      <c r="A41" s="6" t="s">
        <v>59</v>
      </c>
      <c r="B41" s="6" t="s">
        <v>123</v>
      </c>
      <c r="C41" s="6" t="n">
        <v>4</v>
      </c>
      <c r="D41" s="6" t="n">
        <v>4</v>
      </c>
      <c r="E41" s="14" t="str">
        <f aca="false">IF(C41=D41,"O","X")</f>
        <v>O</v>
      </c>
      <c r="F41" s="7" t="n">
        <v>1</v>
      </c>
      <c r="G41" s="14" t="s">
        <v>118</v>
      </c>
      <c r="H41" s="6" t="n">
        <v>0</v>
      </c>
      <c r="I41" s="13" t="n">
        <v>0</v>
      </c>
    </row>
    <row r="42" customFormat="false" ht="17.15" hidden="false" customHeight="false" outlineLevel="0" collapsed="false">
      <c r="A42" s="6" t="s">
        <v>59</v>
      </c>
      <c r="B42" s="6" t="s">
        <v>124</v>
      </c>
      <c r="C42" s="6" t="n">
        <v>6</v>
      </c>
      <c r="D42" s="6" t="n">
        <v>6</v>
      </c>
      <c r="E42" s="14" t="str">
        <f aca="false">IF(C42=D42,"O","X")</f>
        <v>O</v>
      </c>
      <c r="F42" s="7" t="n">
        <v>1</v>
      </c>
      <c r="G42" s="14" t="s">
        <v>118</v>
      </c>
      <c r="H42" s="6" t="n">
        <v>0</v>
      </c>
      <c r="I42" s="13" t="n">
        <v>0</v>
      </c>
    </row>
    <row r="43" customFormat="false" ht="17.15" hidden="false" customHeight="false" outlineLevel="0" collapsed="false">
      <c r="A43" s="6" t="s">
        <v>66</v>
      </c>
      <c r="B43" s="6" t="s">
        <v>115</v>
      </c>
      <c r="C43" s="6" t="n">
        <v>7</v>
      </c>
      <c r="D43" s="6" t="n">
        <v>7</v>
      </c>
      <c r="E43" s="14" t="str">
        <f aca="false">IF(C43=D43,"O","X")</f>
        <v>O</v>
      </c>
      <c r="F43" s="7" t="n">
        <v>1</v>
      </c>
      <c r="G43" s="14" t="s">
        <v>118</v>
      </c>
      <c r="H43" s="6" t="n">
        <v>6</v>
      </c>
      <c r="I43" s="13" t="n">
        <v>0</v>
      </c>
    </row>
    <row r="44" customFormat="false" ht="17.15" hidden="false" customHeight="false" outlineLevel="0" collapsed="false">
      <c r="A44" s="6" t="s">
        <v>66</v>
      </c>
      <c r="B44" s="6" t="s">
        <v>117</v>
      </c>
      <c r="C44" s="6" t="n">
        <v>1</v>
      </c>
      <c r="D44" s="6" t="n">
        <v>1</v>
      </c>
      <c r="E44" s="14" t="str">
        <f aca="false">IF(C44=D44,"O","X")</f>
        <v>O</v>
      </c>
      <c r="F44" s="7" t="n">
        <v>1</v>
      </c>
      <c r="G44" s="14" t="s">
        <v>118</v>
      </c>
      <c r="H44" s="6" t="n">
        <v>4</v>
      </c>
      <c r="I44" s="13" t="n">
        <v>0</v>
      </c>
    </row>
    <row r="45" customFormat="false" ht="17.15" hidden="false" customHeight="false" outlineLevel="0" collapsed="false">
      <c r="A45" s="6" t="s">
        <v>66</v>
      </c>
      <c r="B45" s="6" t="s">
        <v>119</v>
      </c>
      <c r="C45" s="6" t="n">
        <v>2</v>
      </c>
      <c r="D45" s="6" t="n">
        <v>2</v>
      </c>
      <c r="E45" s="14" t="str">
        <f aca="false">IF(C45=D45,"O","X")</f>
        <v>O</v>
      </c>
      <c r="F45" s="7" t="n">
        <v>1</v>
      </c>
      <c r="G45" s="14" t="s">
        <v>118</v>
      </c>
      <c r="H45" s="6" t="n">
        <v>7</v>
      </c>
      <c r="I45" s="13" t="n">
        <v>0</v>
      </c>
    </row>
    <row r="46" customFormat="false" ht="17.15" hidden="false" customHeight="false" outlineLevel="0" collapsed="false">
      <c r="A46" s="6" t="s">
        <v>66</v>
      </c>
      <c r="B46" s="6" t="s">
        <v>120</v>
      </c>
      <c r="C46" s="6" t="n">
        <v>6</v>
      </c>
      <c r="D46" s="6" t="n">
        <v>6</v>
      </c>
      <c r="E46" s="14" t="str">
        <f aca="false">IF(C46=D46,"O","X")</f>
        <v>O</v>
      </c>
      <c r="F46" s="7" t="n">
        <v>0.997</v>
      </c>
      <c r="G46" s="14" t="s">
        <v>116</v>
      </c>
      <c r="H46" s="6" t="n">
        <v>4</v>
      </c>
      <c r="I46" s="13" t="n">
        <v>0</v>
      </c>
    </row>
    <row r="47" customFormat="false" ht="17.15" hidden="false" customHeight="false" outlineLevel="0" collapsed="false">
      <c r="A47" s="6" t="s">
        <v>66</v>
      </c>
      <c r="B47" s="6" t="s">
        <v>121</v>
      </c>
      <c r="C47" s="6" t="n">
        <v>5</v>
      </c>
      <c r="D47" s="6" t="n">
        <v>5</v>
      </c>
      <c r="E47" s="14" t="str">
        <f aca="false">IF(C47=D47,"O","X")</f>
        <v>O</v>
      </c>
      <c r="F47" s="7" t="n">
        <v>0.932</v>
      </c>
      <c r="G47" s="14" t="s">
        <v>116</v>
      </c>
      <c r="H47" s="6" t="n">
        <v>3</v>
      </c>
      <c r="I47" s="13" t="n">
        <v>0.02</v>
      </c>
    </row>
    <row r="48" customFormat="false" ht="17.15" hidden="false" customHeight="false" outlineLevel="0" collapsed="false">
      <c r="A48" s="6" t="s">
        <v>66</v>
      </c>
      <c r="B48" s="6" t="s">
        <v>122</v>
      </c>
      <c r="C48" s="6" t="n">
        <v>0</v>
      </c>
      <c r="D48" s="6" t="n">
        <v>0</v>
      </c>
      <c r="E48" s="14" t="str">
        <f aca="false">IF(C48=D48,"O","X")</f>
        <v>O</v>
      </c>
      <c r="F48" s="7" t="n">
        <v>0.965</v>
      </c>
      <c r="G48" s="14" t="s">
        <v>116</v>
      </c>
      <c r="H48" s="6" t="n">
        <v>2</v>
      </c>
      <c r="I48" s="13" t="n">
        <v>0.01</v>
      </c>
    </row>
    <row r="49" customFormat="false" ht="17.15" hidden="false" customHeight="false" outlineLevel="0" collapsed="false">
      <c r="A49" s="6" t="s">
        <v>66</v>
      </c>
      <c r="B49" s="6" t="s">
        <v>123</v>
      </c>
      <c r="C49" s="6" t="n">
        <v>4</v>
      </c>
      <c r="D49" s="6" t="n">
        <v>4</v>
      </c>
      <c r="E49" s="14" t="str">
        <f aca="false">IF(C49=D49,"O","X")</f>
        <v>O</v>
      </c>
      <c r="F49" s="7" t="n">
        <v>1</v>
      </c>
      <c r="G49" s="14" t="s">
        <v>118</v>
      </c>
      <c r="H49" s="6" t="n">
        <v>3</v>
      </c>
      <c r="I49" s="13" t="n">
        <v>0</v>
      </c>
    </row>
    <row r="50" customFormat="false" ht="17.15" hidden="false" customHeight="false" outlineLevel="0" collapsed="false">
      <c r="A50" s="6" t="s">
        <v>66</v>
      </c>
      <c r="B50" s="6" t="s">
        <v>124</v>
      </c>
      <c r="C50" s="6" t="n">
        <v>6</v>
      </c>
      <c r="D50" s="6" t="n">
        <v>6</v>
      </c>
      <c r="E50" s="14" t="str">
        <f aca="false">IF(C50=D50,"O","X")</f>
        <v>O</v>
      </c>
      <c r="F50" s="7" t="n">
        <v>1</v>
      </c>
      <c r="G50" s="14" t="s">
        <v>118</v>
      </c>
      <c r="H50" s="6" t="n">
        <v>0</v>
      </c>
      <c r="I50" s="13" t="n">
        <v>0</v>
      </c>
    </row>
    <row r="51" customFormat="false" ht="17.15" hidden="false" customHeight="false" outlineLevel="0" collapsed="false">
      <c r="A51" s="6" t="s">
        <v>71</v>
      </c>
      <c r="B51" s="6" t="s">
        <v>115</v>
      </c>
      <c r="C51" s="6" t="n">
        <v>3</v>
      </c>
      <c r="D51" s="6" t="n">
        <v>3</v>
      </c>
      <c r="E51" s="14" t="str">
        <f aca="false">IF(C51=D51,"O","X")</f>
        <v>O</v>
      </c>
      <c r="F51" s="7" t="n">
        <v>1</v>
      </c>
      <c r="G51" s="14" t="s">
        <v>118</v>
      </c>
      <c r="H51" s="6" t="n">
        <v>0</v>
      </c>
      <c r="I51" s="13" t="n">
        <v>0</v>
      </c>
    </row>
    <row r="52" customFormat="false" ht="17.15" hidden="false" customHeight="false" outlineLevel="0" collapsed="false">
      <c r="A52" s="6" t="s">
        <v>71</v>
      </c>
      <c r="B52" s="6" t="s">
        <v>117</v>
      </c>
      <c r="C52" s="6" t="n">
        <v>3</v>
      </c>
      <c r="D52" s="6" t="n">
        <v>3</v>
      </c>
      <c r="E52" s="14" t="str">
        <f aca="false">IF(C52=D52,"O","X")</f>
        <v>O</v>
      </c>
      <c r="F52" s="7" t="n">
        <v>1</v>
      </c>
      <c r="G52" s="14" t="s">
        <v>118</v>
      </c>
      <c r="H52" s="6" t="n">
        <v>0</v>
      </c>
      <c r="I52" s="13" t="n">
        <v>0</v>
      </c>
    </row>
    <row r="53" customFormat="false" ht="17.15" hidden="false" customHeight="false" outlineLevel="0" collapsed="false">
      <c r="A53" s="6" t="s">
        <v>71</v>
      </c>
      <c r="B53" s="6" t="s">
        <v>119</v>
      </c>
      <c r="C53" s="6" t="n">
        <v>7</v>
      </c>
      <c r="D53" s="6" t="n">
        <v>7</v>
      </c>
      <c r="E53" s="14" t="str">
        <f aca="false">IF(C53=D53,"O","X")</f>
        <v>O</v>
      </c>
      <c r="F53" s="7" t="n">
        <v>0.988</v>
      </c>
      <c r="G53" s="14" t="s">
        <v>116</v>
      </c>
      <c r="H53" s="6" t="n">
        <v>0</v>
      </c>
      <c r="I53" s="13" t="n">
        <v>0</v>
      </c>
    </row>
    <row r="54" customFormat="false" ht="17.15" hidden="false" customHeight="false" outlineLevel="0" collapsed="false">
      <c r="A54" s="6" t="s">
        <v>71</v>
      </c>
      <c r="B54" s="6" t="s">
        <v>120</v>
      </c>
      <c r="C54" s="6" t="n">
        <v>0</v>
      </c>
      <c r="D54" s="6" t="n">
        <v>0</v>
      </c>
      <c r="E54" s="14" t="str">
        <f aca="false">IF(C54=D54,"O","X")</f>
        <v>O</v>
      </c>
      <c r="F54" s="7" t="n">
        <v>1</v>
      </c>
      <c r="G54" s="14" t="s">
        <v>118</v>
      </c>
      <c r="H54" s="6" t="n">
        <v>5</v>
      </c>
      <c r="I54" s="13" t="n">
        <v>0</v>
      </c>
    </row>
    <row r="55" customFormat="false" ht="17.15" hidden="false" customHeight="false" outlineLevel="0" collapsed="false">
      <c r="A55" s="6" t="s">
        <v>71</v>
      </c>
      <c r="B55" s="6" t="s">
        <v>121</v>
      </c>
      <c r="C55" s="6" t="n">
        <v>6</v>
      </c>
      <c r="D55" s="6" t="n">
        <v>6</v>
      </c>
      <c r="E55" s="14" t="str">
        <f aca="false">IF(C55=D55,"O","X")</f>
        <v>O</v>
      </c>
      <c r="F55" s="7" t="n">
        <v>1</v>
      </c>
      <c r="G55" s="14" t="s">
        <v>118</v>
      </c>
      <c r="H55" s="6" t="n">
        <v>2</v>
      </c>
      <c r="I55" s="13" t="n">
        <v>0</v>
      </c>
    </row>
    <row r="56" customFormat="false" ht="17.15" hidden="false" customHeight="false" outlineLevel="0" collapsed="false">
      <c r="A56" s="6" t="s">
        <v>71</v>
      </c>
      <c r="B56" s="6" t="s">
        <v>122</v>
      </c>
      <c r="C56" s="6" t="n">
        <v>0</v>
      </c>
      <c r="D56" s="6" t="n">
        <v>0</v>
      </c>
      <c r="E56" s="14" t="str">
        <f aca="false">IF(C56=D56,"O","X")</f>
        <v>O</v>
      </c>
      <c r="F56" s="7" t="n">
        <v>0.319</v>
      </c>
      <c r="G56" s="14" t="s">
        <v>116</v>
      </c>
      <c r="H56" s="6" t="n">
        <v>1</v>
      </c>
      <c r="I56" s="13" t="n">
        <v>0.13</v>
      </c>
    </row>
    <row r="57" customFormat="false" ht="17.15" hidden="false" customHeight="false" outlineLevel="0" collapsed="false">
      <c r="A57" s="6" t="s">
        <v>71</v>
      </c>
      <c r="B57" s="6" t="s">
        <v>123</v>
      </c>
      <c r="C57" s="6" t="n">
        <v>4</v>
      </c>
      <c r="D57" s="6" t="n">
        <v>4</v>
      </c>
      <c r="E57" s="14" t="str">
        <f aca="false">IF(C57=D57,"O","X")</f>
        <v>O</v>
      </c>
      <c r="F57" s="7" t="n">
        <v>1</v>
      </c>
      <c r="G57" s="14" t="s">
        <v>118</v>
      </c>
      <c r="H57" s="6" t="n">
        <v>0</v>
      </c>
      <c r="I57" s="13" t="n">
        <v>0</v>
      </c>
    </row>
    <row r="58" customFormat="false" ht="17.15" hidden="false" customHeight="false" outlineLevel="0" collapsed="false">
      <c r="A58" s="6" t="s">
        <v>71</v>
      </c>
      <c r="B58" s="6" t="s">
        <v>124</v>
      </c>
      <c r="C58" s="6" t="n">
        <v>6</v>
      </c>
      <c r="D58" s="6" t="n">
        <v>6</v>
      </c>
      <c r="E58" s="14" t="str">
        <f aca="false">IF(C58=D58,"O","X")</f>
        <v>O</v>
      </c>
      <c r="F58" s="7" t="n">
        <v>1</v>
      </c>
      <c r="G58" s="14" t="s">
        <v>118</v>
      </c>
      <c r="H58" s="6" t="n">
        <v>0</v>
      </c>
      <c r="I58" s="13" t="n">
        <v>0</v>
      </c>
    </row>
    <row r="59" customFormat="false" ht="17.15" hidden="false" customHeight="false" outlineLevel="0" collapsed="false">
      <c r="A59" s="6" t="s">
        <v>76</v>
      </c>
      <c r="B59" s="6" t="s">
        <v>115</v>
      </c>
      <c r="C59" s="6" t="n">
        <v>4</v>
      </c>
      <c r="D59" s="6" t="n">
        <v>4</v>
      </c>
      <c r="E59" s="14" t="str">
        <f aca="false">IF(C59=D59,"O","X")</f>
        <v>O</v>
      </c>
      <c r="F59" s="7" t="n">
        <v>1</v>
      </c>
      <c r="G59" s="14" t="s">
        <v>118</v>
      </c>
      <c r="H59" s="6" t="n">
        <v>5</v>
      </c>
      <c r="I59" s="13" t="n">
        <v>0</v>
      </c>
    </row>
    <row r="60" customFormat="false" ht="17.15" hidden="false" customHeight="false" outlineLevel="0" collapsed="false">
      <c r="A60" s="6" t="s">
        <v>76</v>
      </c>
      <c r="B60" s="6" t="s">
        <v>117</v>
      </c>
      <c r="C60" s="6" t="n">
        <v>5</v>
      </c>
      <c r="D60" s="6" t="n">
        <v>5</v>
      </c>
      <c r="E60" s="14" t="str">
        <f aca="false">IF(C60=D60,"O","X")</f>
        <v>O</v>
      </c>
      <c r="F60" s="7" t="n">
        <v>0.484</v>
      </c>
      <c r="G60" s="14" t="s">
        <v>116</v>
      </c>
      <c r="H60" s="6" t="n">
        <v>7</v>
      </c>
      <c r="I60" s="13" t="n">
        <v>0.15</v>
      </c>
    </row>
    <row r="61" customFormat="false" ht="17.15" hidden="false" customHeight="false" outlineLevel="0" collapsed="false">
      <c r="A61" s="6" t="s">
        <v>76</v>
      </c>
      <c r="B61" s="6" t="s">
        <v>119</v>
      </c>
      <c r="C61" s="6" t="n">
        <v>6</v>
      </c>
      <c r="D61" s="6" t="n">
        <v>6</v>
      </c>
      <c r="E61" s="14" t="str">
        <f aca="false">IF(C61=D61,"O","X")</f>
        <v>O</v>
      </c>
      <c r="F61" s="7" t="n">
        <v>1</v>
      </c>
      <c r="G61" s="14" t="s">
        <v>118</v>
      </c>
      <c r="H61" s="6" t="n">
        <v>1</v>
      </c>
      <c r="I61" s="13" t="n">
        <v>0</v>
      </c>
    </row>
    <row r="62" customFormat="false" ht="17.15" hidden="false" customHeight="false" outlineLevel="0" collapsed="false">
      <c r="A62" s="6" t="s">
        <v>76</v>
      </c>
      <c r="B62" s="6" t="s">
        <v>120</v>
      </c>
      <c r="C62" s="6" t="n">
        <v>1</v>
      </c>
      <c r="D62" s="6" t="n">
        <v>1</v>
      </c>
      <c r="E62" s="14" t="str">
        <f aca="false">IF(C62=D62,"O","X")</f>
        <v>O</v>
      </c>
      <c r="F62" s="7" t="n">
        <v>1</v>
      </c>
      <c r="G62" s="14" t="s">
        <v>118</v>
      </c>
      <c r="H62" s="6" t="n">
        <v>2</v>
      </c>
      <c r="I62" s="13" t="n">
        <v>0</v>
      </c>
    </row>
    <row r="63" customFormat="false" ht="17.15" hidden="false" customHeight="false" outlineLevel="0" collapsed="false">
      <c r="A63" s="6" t="s">
        <v>76</v>
      </c>
      <c r="B63" s="6" t="s">
        <v>121</v>
      </c>
      <c r="C63" s="6" t="n">
        <v>6</v>
      </c>
      <c r="D63" s="6" t="n">
        <v>7</v>
      </c>
      <c r="E63" s="14" t="str">
        <f aca="false">IF(C63=D63,"O","X")</f>
        <v>X</v>
      </c>
      <c r="F63" s="7" t="n">
        <v>0.773</v>
      </c>
      <c r="G63" s="14" t="s">
        <v>116</v>
      </c>
      <c r="H63" s="6" t="n">
        <v>6</v>
      </c>
      <c r="I63" s="13" t="n">
        <v>0.15</v>
      </c>
    </row>
    <row r="64" customFormat="false" ht="17.15" hidden="false" customHeight="false" outlineLevel="0" collapsed="false">
      <c r="A64" s="6" t="s">
        <v>76</v>
      </c>
      <c r="B64" s="6" t="s">
        <v>122</v>
      </c>
      <c r="C64" s="6" t="n">
        <v>0</v>
      </c>
      <c r="D64" s="6" t="n">
        <v>0</v>
      </c>
      <c r="E64" s="14" t="str">
        <f aca="false">IF(C64=D64,"O","X")</f>
        <v>O</v>
      </c>
      <c r="F64" s="7" t="n">
        <v>1</v>
      </c>
      <c r="G64" s="14" t="s">
        <v>118</v>
      </c>
      <c r="H64" s="6" t="n">
        <v>6</v>
      </c>
      <c r="I64" s="13" t="n">
        <v>0</v>
      </c>
    </row>
    <row r="65" customFormat="false" ht="17.15" hidden="false" customHeight="false" outlineLevel="0" collapsed="false">
      <c r="A65" s="6" t="s">
        <v>76</v>
      </c>
      <c r="B65" s="6" t="s">
        <v>123</v>
      </c>
      <c r="C65" s="6" t="n">
        <v>4</v>
      </c>
      <c r="D65" s="6" t="n">
        <v>4</v>
      </c>
      <c r="E65" s="14" t="str">
        <f aca="false">IF(C65=D65,"O","X")</f>
        <v>O</v>
      </c>
      <c r="F65" s="7" t="n">
        <v>1</v>
      </c>
      <c r="G65" s="14" t="s">
        <v>118</v>
      </c>
      <c r="H65" s="6" t="n">
        <v>3</v>
      </c>
      <c r="I65" s="13" t="n">
        <v>0</v>
      </c>
    </row>
    <row r="66" customFormat="false" ht="17.15" hidden="false" customHeight="false" outlineLevel="0" collapsed="false">
      <c r="A66" s="6" t="s">
        <v>76</v>
      </c>
      <c r="B66" s="6" t="s">
        <v>124</v>
      </c>
      <c r="C66" s="6" t="n">
        <v>6</v>
      </c>
      <c r="D66" s="6" t="n">
        <v>6</v>
      </c>
      <c r="E66" s="14" t="str">
        <f aca="false">IF(C66=D66,"O","X")</f>
        <v>O</v>
      </c>
      <c r="F66" s="7" t="n">
        <v>1</v>
      </c>
      <c r="G66" s="14" t="s">
        <v>118</v>
      </c>
      <c r="H66" s="6" t="n">
        <v>2</v>
      </c>
      <c r="I66" s="13" t="n">
        <v>0</v>
      </c>
    </row>
    <row r="67" customFormat="false" ht="17.15" hidden="false" customHeight="false" outlineLevel="0" collapsed="false">
      <c r="A67" s="6" t="s">
        <v>83</v>
      </c>
      <c r="B67" s="6" t="s">
        <v>115</v>
      </c>
      <c r="C67" s="6" t="n">
        <v>2</v>
      </c>
      <c r="D67" s="6" t="n">
        <v>2</v>
      </c>
      <c r="E67" s="14" t="str">
        <f aca="false">IF(C67=D67,"O","X")</f>
        <v>O</v>
      </c>
      <c r="F67" s="7" t="n">
        <v>1</v>
      </c>
      <c r="G67" s="14" t="s">
        <v>118</v>
      </c>
      <c r="H67" s="6" t="n">
        <v>4</v>
      </c>
      <c r="I67" s="13" t="n">
        <v>0</v>
      </c>
    </row>
    <row r="68" customFormat="false" ht="17.15" hidden="false" customHeight="false" outlineLevel="0" collapsed="false">
      <c r="A68" s="6" t="s">
        <v>83</v>
      </c>
      <c r="B68" s="6" t="s">
        <v>117</v>
      </c>
      <c r="C68" s="6" t="n">
        <v>2</v>
      </c>
      <c r="D68" s="6" t="n">
        <v>2</v>
      </c>
      <c r="E68" s="14" t="str">
        <f aca="false">IF(C68=D68,"O","X")</f>
        <v>O</v>
      </c>
      <c r="F68" s="7" t="n">
        <v>1</v>
      </c>
      <c r="G68" s="14" t="s">
        <v>118</v>
      </c>
      <c r="H68" s="6" t="n">
        <v>6</v>
      </c>
      <c r="I68" s="13" t="n">
        <v>0</v>
      </c>
    </row>
    <row r="69" customFormat="false" ht="17.15" hidden="false" customHeight="false" outlineLevel="0" collapsed="false">
      <c r="A69" s="6" t="s">
        <v>83</v>
      </c>
      <c r="B69" s="6" t="s">
        <v>119</v>
      </c>
      <c r="C69" s="6" t="n">
        <v>5</v>
      </c>
      <c r="D69" s="6" t="n">
        <v>5</v>
      </c>
      <c r="E69" s="14" t="str">
        <f aca="false">IF(C69=D69,"O","X")</f>
        <v>O</v>
      </c>
      <c r="F69" s="7" t="n">
        <v>1</v>
      </c>
      <c r="G69" s="14" t="s">
        <v>118</v>
      </c>
      <c r="H69" s="6" t="n">
        <v>4</v>
      </c>
      <c r="I69" s="13" t="n">
        <v>0</v>
      </c>
    </row>
    <row r="70" customFormat="false" ht="17.15" hidden="false" customHeight="false" outlineLevel="0" collapsed="false">
      <c r="A70" s="6" t="s">
        <v>83</v>
      </c>
      <c r="B70" s="6" t="s">
        <v>120</v>
      </c>
      <c r="C70" s="6" t="n">
        <v>0</v>
      </c>
      <c r="D70" s="6" t="n">
        <v>0</v>
      </c>
      <c r="E70" s="14" t="str">
        <f aca="false">IF(C70=D70,"O","X")</f>
        <v>O</v>
      </c>
      <c r="F70" s="7" t="n">
        <v>1</v>
      </c>
      <c r="G70" s="14" t="s">
        <v>118</v>
      </c>
      <c r="H70" s="6" t="n">
        <v>5</v>
      </c>
      <c r="I70" s="13" t="n">
        <v>0</v>
      </c>
    </row>
    <row r="71" customFormat="false" ht="17.15" hidden="false" customHeight="false" outlineLevel="0" collapsed="false">
      <c r="A71" s="6" t="s">
        <v>83</v>
      </c>
      <c r="B71" s="6" t="s">
        <v>121</v>
      </c>
      <c r="C71" s="6" t="n">
        <v>2</v>
      </c>
      <c r="D71" s="6" t="n">
        <v>2</v>
      </c>
      <c r="E71" s="14" t="str">
        <f aca="false">IF(C71=D71,"O","X")</f>
        <v>O</v>
      </c>
      <c r="F71" s="7" t="n">
        <v>1</v>
      </c>
      <c r="G71" s="14" t="s">
        <v>118</v>
      </c>
      <c r="H71" s="6" t="n">
        <v>4</v>
      </c>
      <c r="I71" s="13" t="n">
        <v>0</v>
      </c>
    </row>
    <row r="72" customFormat="false" ht="17.15" hidden="false" customHeight="false" outlineLevel="0" collapsed="false">
      <c r="A72" s="6" t="s">
        <v>83</v>
      </c>
      <c r="B72" s="6" t="s">
        <v>122</v>
      </c>
      <c r="C72" s="6" t="n">
        <v>2</v>
      </c>
      <c r="D72" s="6" t="n">
        <v>2</v>
      </c>
      <c r="E72" s="14" t="str">
        <f aca="false">IF(C72=D72,"O","X")</f>
        <v>O</v>
      </c>
      <c r="F72" s="7" t="n">
        <v>1</v>
      </c>
      <c r="G72" s="14" t="s">
        <v>118</v>
      </c>
      <c r="H72" s="6" t="n">
        <v>1</v>
      </c>
      <c r="I72" s="13" t="n">
        <v>0</v>
      </c>
    </row>
    <row r="73" customFormat="false" ht="17.15" hidden="false" customHeight="false" outlineLevel="0" collapsed="false">
      <c r="A73" s="6" t="s">
        <v>83</v>
      </c>
      <c r="B73" s="6" t="s">
        <v>123</v>
      </c>
      <c r="C73" s="6" t="n">
        <v>7</v>
      </c>
      <c r="D73" s="6" t="n">
        <v>7</v>
      </c>
      <c r="E73" s="14" t="str">
        <f aca="false">IF(C73=D73,"O","X")</f>
        <v>O</v>
      </c>
      <c r="F73" s="7" t="n">
        <v>1</v>
      </c>
      <c r="G73" s="14" t="s">
        <v>118</v>
      </c>
      <c r="H73" s="6" t="n">
        <v>0</v>
      </c>
      <c r="I73" s="13" t="n">
        <v>0</v>
      </c>
    </row>
    <row r="74" customFormat="false" ht="17.15" hidden="false" customHeight="false" outlineLevel="0" collapsed="false">
      <c r="A74" s="6" t="s">
        <v>83</v>
      </c>
      <c r="B74" s="6" t="s">
        <v>124</v>
      </c>
      <c r="C74" s="6" t="n">
        <v>0</v>
      </c>
      <c r="D74" s="6" t="n">
        <v>0</v>
      </c>
      <c r="E74" s="14" t="str">
        <f aca="false">IF(C74=D74,"O","X")</f>
        <v>O</v>
      </c>
      <c r="F74" s="7" t="n">
        <v>1</v>
      </c>
      <c r="G74" s="14" t="s">
        <v>118</v>
      </c>
      <c r="H74" s="6" t="n">
        <v>3</v>
      </c>
      <c r="I74" s="13" t="n">
        <v>0</v>
      </c>
    </row>
    <row r="75" customFormat="false" ht="17.15" hidden="false" customHeight="false" outlineLevel="0" collapsed="false">
      <c r="A75" s="6" t="s">
        <v>88</v>
      </c>
      <c r="B75" s="6" t="s">
        <v>115</v>
      </c>
      <c r="C75" s="6" t="n">
        <v>2</v>
      </c>
      <c r="D75" s="6" t="n">
        <v>2</v>
      </c>
      <c r="E75" s="14" t="str">
        <f aca="false">IF(C75=D75,"O","X")</f>
        <v>O</v>
      </c>
      <c r="F75" s="7" t="n">
        <v>1</v>
      </c>
      <c r="G75" s="14" t="s">
        <v>118</v>
      </c>
      <c r="H75" s="6" t="n">
        <v>7</v>
      </c>
      <c r="I75" s="13" t="n">
        <v>0</v>
      </c>
    </row>
    <row r="76" customFormat="false" ht="17.15" hidden="false" customHeight="false" outlineLevel="0" collapsed="false">
      <c r="A76" s="6" t="s">
        <v>88</v>
      </c>
      <c r="B76" s="6" t="s">
        <v>117</v>
      </c>
      <c r="C76" s="6" t="n">
        <v>6</v>
      </c>
      <c r="D76" s="6" t="n">
        <v>6</v>
      </c>
      <c r="E76" s="14" t="str">
        <f aca="false">IF(C76=D76,"O","X")</f>
        <v>O</v>
      </c>
      <c r="F76" s="7" t="n">
        <v>1</v>
      </c>
      <c r="G76" s="14" t="s">
        <v>118</v>
      </c>
      <c r="H76" s="6" t="n">
        <v>4</v>
      </c>
      <c r="I76" s="13" t="n">
        <v>0</v>
      </c>
    </row>
    <row r="77" customFormat="false" ht="17.15" hidden="false" customHeight="false" outlineLevel="0" collapsed="false">
      <c r="A77" s="6" t="s">
        <v>88</v>
      </c>
      <c r="B77" s="6" t="s">
        <v>119</v>
      </c>
      <c r="C77" s="6" t="n">
        <v>1</v>
      </c>
      <c r="D77" s="6" t="n">
        <v>1</v>
      </c>
      <c r="E77" s="14" t="str">
        <f aca="false">IF(C77=D77,"O","X")</f>
        <v>O</v>
      </c>
      <c r="F77" s="7" t="n">
        <v>1</v>
      </c>
      <c r="G77" s="14" t="s">
        <v>118</v>
      </c>
      <c r="H77" s="6" t="n">
        <v>7</v>
      </c>
      <c r="I77" s="13" t="n">
        <v>0</v>
      </c>
    </row>
    <row r="78" customFormat="false" ht="17.15" hidden="false" customHeight="false" outlineLevel="0" collapsed="false">
      <c r="A78" s="6" t="s">
        <v>88</v>
      </c>
      <c r="B78" s="6" t="s">
        <v>120</v>
      </c>
      <c r="C78" s="6" t="n">
        <v>7</v>
      </c>
      <c r="D78" s="6" t="n">
        <v>7</v>
      </c>
      <c r="E78" s="14" t="str">
        <f aca="false">IF(C78=D78,"O","X")</f>
        <v>O</v>
      </c>
      <c r="F78" s="7" t="n">
        <v>1</v>
      </c>
      <c r="G78" s="14" t="s">
        <v>118</v>
      </c>
      <c r="H78" s="6" t="n">
        <v>6</v>
      </c>
      <c r="I78" s="13" t="n">
        <v>0</v>
      </c>
    </row>
    <row r="79" customFormat="false" ht="17.15" hidden="false" customHeight="false" outlineLevel="0" collapsed="false">
      <c r="A79" s="6" t="s">
        <v>88</v>
      </c>
      <c r="B79" s="6" t="s">
        <v>121</v>
      </c>
      <c r="C79" s="6" t="n">
        <v>4</v>
      </c>
      <c r="D79" s="6" t="n">
        <v>4</v>
      </c>
      <c r="E79" s="14" t="str">
        <f aca="false">IF(C79=D79,"O","X")</f>
        <v>O</v>
      </c>
      <c r="F79" s="7" t="n">
        <v>1</v>
      </c>
      <c r="G79" s="14" t="s">
        <v>116</v>
      </c>
      <c r="H79" s="6" t="n">
        <v>2</v>
      </c>
      <c r="I79" s="13" t="n">
        <v>0</v>
      </c>
    </row>
    <row r="80" customFormat="false" ht="17.15" hidden="false" customHeight="false" outlineLevel="0" collapsed="false">
      <c r="A80" s="6" t="s">
        <v>88</v>
      </c>
      <c r="B80" s="6" t="s">
        <v>122</v>
      </c>
      <c r="C80" s="6" t="n">
        <v>4</v>
      </c>
      <c r="D80" s="6" t="n">
        <v>4</v>
      </c>
      <c r="E80" s="14" t="str">
        <f aca="false">IF(C80=D80,"O","X")</f>
        <v>O</v>
      </c>
      <c r="F80" s="7" t="n">
        <v>1</v>
      </c>
      <c r="G80" s="14" t="s">
        <v>118</v>
      </c>
      <c r="H80" s="6" t="n">
        <v>3</v>
      </c>
      <c r="I80" s="13" t="n">
        <v>0</v>
      </c>
    </row>
    <row r="81" customFormat="false" ht="17.15" hidden="false" customHeight="false" outlineLevel="0" collapsed="false">
      <c r="A81" s="6" t="s">
        <v>88</v>
      </c>
      <c r="B81" s="6" t="s">
        <v>123</v>
      </c>
      <c r="C81" s="6" t="n">
        <v>1</v>
      </c>
      <c r="D81" s="6" t="n">
        <v>1</v>
      </c>
      <c r="E81" s="14" t="str">
        <f aca="false">IF(C81=D81,"O","X")</f>
        <v>O</v>
      </c>
      <c r="F81" s="7" t="n">
        <v>1</v>
      </c>
      <c r="G81" s="14" t="s">
        <v>118</v>
      </c>
      <c r="H81" s="6" t="n">
        <v>0</v>
      </c>
      <c r="I81" s="13" t="n">
        <v>0</v>
      </c>
    </row>
    <row r="82" customFormat="false" ht="17.15" hidden="false" customHeight="false" outlineLevel="0" collapsed="false">
      <c r="A82" s="6" t="s">
        <v>88</v>
      </c>
      <c r="B82" s="6" t="s">
        <v>124</v>
      </c>
      <c r="C82" s="6" t="n">
        <v>1</v>
      </c>
      <c r="D82" s="6" t="n">
        <v>1</v>
      </c>
      <c r="E82" s="14" t="str">
        <f aca="false">IF(C82=D82,"O","X")</f>
        <v>O</v>
      </c>
      <c r="F82" s="7" t="n">
        <v>1</v>
      </c>
      <c r="G82" s="14" t="s">
        <v>118</v>
      </c>
      <c r="H82" s="6" t="n">
        <v>0</v>
      </c>
      <c r="I82" s="13" t="n">
        <v>0</v>
      </c>
    </row>
    <row r="83" customFormat="false" ht="17.15" hidden="false" customHeight="false" outlineLevel="0" collapsed="false">
      <c r="A83" s="6" t="s">
        <v>92</v>
      </c>
      <c r="B83" s="6" t="s">
        <v>115</v>
      </c>
      <c r="C83" s="6" t="n">
        <v>2</v>
      </c>
      <c r="D83" s="6" t="n">
        <v>2</v>
      </c>
      <c r="E83" s="14" t="str">
        <f aca="false">IF(C83=D83,"O","X")</f>
        <v>O</v>
      </c>
      <c r="F83" s="7" t="n">
        <v>1</v>
      </c>
      <c r="G83" s="14" t="s">
        <v>118</v>
      </c>
      <c r="H83" s="6" t="n">
        <v>0</v>
      </c>
      <c r="I83" s="13" t="n">
        <v>0</v>
      </c>
    </row>
    <row r="84" customFormat="false" ht="17.15" hidden="false" customHeight="false" outlineLevel="0" collapsed="false">
      <c r="A84" s="6" t="s">
        <v>92</v>
      </c>
      <c r="B84" s="6" t="s">
        <v>117</v>
      </c>
      <c r="C84" s="6" t="n">
        <v>5</v>
      </c>
      <c r="D84" s="6" t="n">
        <v>5</v>
      </c>
      <c r="E84" s="14" t="str">
        <f aca="false">IF(C84=D84,"O","X")</f>
        <v>O</v>
      </c>
      <c r="F84" s="7" t="n">
        <v>1</v>
      </c>
      <c r="G84" s="14" t="s">
        <v>118</v>
      </c>
      <c r="H84" s="6" t="n">
        <v>0</v>
      </c>
      <c r="I84" s="13" t="n">
        <v>0</v>
      </c>
    </row>
    <row r="85" customFormat="false" ht="17.15" hidden="false" customHeight="false" outlineLevel="0" collapsed="false">
      <c r="A85" s="6" t="s">
        <v>92</v>
      </c>
      <c r="B85" s="6" t="s">
        <v>119</v>
      </c>
      <c r="C85" s="6" t="n">
        <v>3</v>
      </c>
      <c r="D85" s="6" t="n">
        <v>3</v>
      </c>
      <c r="E85" s="14" t="str">
        <f aca="false">IF(C85=D85,"O","X")</f>
        <v>O</v>
      </c>
      <c r="F85" s="7" t="n">
        <v>1</v>
      </c>
      <c r="G85" s="14" t="s">
        <v>118</v>
      </c>
      <c r="H85" s="6" t="n">
        <v>0</v>
      </c>
      <c r="I85" s="13" t="n">
        <v>0</v>
      </c>
    </row>
    <row r="86" customFormat="false" ht="17.15" hidden="false" customHeight="false" outlineLevel="0" collapsed="false">
      <c r="A86" s="6" t="s">
        <v>92</v>
      </c>
      <c r="B86" s="6" t="s">
        <v>120</v>
      </c>
      <c r="C86" s="6" t="n">
        <v>7</v>
      </c>
      <c r="D86" s="6" t="n">
        <v>7</v>
      </c>
      <c r="E86" s="14" t="str">
        <f aca="false">IF(C86=D86,"O","X")</f>
        <v>O</v>
      </c>
      <c r="F86" s="7" t="n">
        <v>1</v>
      </c>
      <c r="G86" s="14" t="s">
        <v>118</v>
      </c>
      <c r="H86" s="6" t="n">
        <v>0</v>
      </c>
      <c r="I86" s="13" t="n">
        <v>0</v>
      </c>
    </row>
    <row r="87" customFormat="false" ht="17.15" hidden="false" customHeight="false" outlineLevel="0" collapsed="false">
      <c r="A87" s="6" t="s">
        <v>92</v>
      </c>
      <c r="B87" s="6" t="s">
        <v>121</v>
      </c>
      <c r="C87" s="6" t="n">
        <v>4</v>
      </c>
      <c r="D87" s="6" t="n">
        <v>4</v>
      </c>
      <c r="E87" s="14" t="str">
        <f aca="false">IF(C87=D87,"O","X")</f>
        <v>O</v>
      </c>
      <c r="F87" s="7" t="n">
        <v>1</v>
      </c>
      <c r="G87" s="14" t="s">
        <v>118</v>
      </c>
      <c r="H87" s="6" t="n">
        <v>2</v>
      </c>
      <c r="I87" s="13" t="n">
        <v>0</v>
      </c>
    </row>
    <row r="88" customFormat="false" ht="17.15" hidden="false" customHeight="false" outlineLevel="0" collapsed="false">
      <c r="A88" s="6" t="s">
        <v>92</v>
      </c>
      <c r="B88" s="6" t="s">
        <v>122</v>
      </c>
      <c r="C88" s="6" t="n">
        <v>4</v>
      </c>
      <c r="D88" s="6" t="n">
        <v>4</v>
      </c>
      <c r="E88" s="14" t="str">
        <f aca="false">IF(C88=D88,"O","X")</f>
        <v>O</v>
      </c>
      <c r="F88" s="7" t="n">
        <v>1</v>
      </c>
      <c r="G88" s="14" t="s">
        <v>118</v>
      </c>
      <c r="H88" s="6" t="n">
        <v>0</v>
      </c>
      <c r="I88" s="13" t="n">
        <v>0</v>
      </c>
    </row>
    <row r="89" customFormat="false" ht="17.15" hidden="false" customHeight="false" outlineLevel="0" collapsed="false">
      <c r="A89" s="6" t="s">
        <v>92</v>
      </c>
      <c r="B89" s="6" t="s">
        <v>123</v>
      </c>
      <c r="C89" s="6" t="n">
        <v>1</v>
      </c>
      <c r="D89" s="6" t="n">
        <v>1</v>
      </c>
      <c r="E89" s="14" t="str">
        <f aca="false">IF(C89=D89,"O","X")</f>
        <v>O</v>
      </c>
      <c r="F89" s="7" t="n">
        <v>0.999</v>
      </c>
      <c r="G89" s="14" t="s">
        <v>116</v>
      </c>
      <c r="H89" s="6" t="n">
        <v>0</v>
      </c>
      <c r="I89" s="13" t="n">
        <v>0</v>
      </c>
    </row>
    <row r="90" customFormat="false" ht="17.15" hidden="false" customHeight="false" outlineLevel="0" collapsed="false">
      <c r="A90" s="6" t="s">
        <v>92</v>
      </c>
      <c r="B90" s="6" t="s">
        <v>124</v>
      </c>
      <c r="C90" s="6" t="n">
        <v>1</v>
      </c>
      <c r="D90" s="6" t="n">
        <v>1</v>
      </c>
      <c r="E90" s="14" t="str">
        <f aca="false">IF(C90=D90,"O","X")</f>
        <v>O</v>
      </c>
      <c r="F90" s="7" t="n">
        <v>1</v>
      </c>
      <c r="G90" s="14" t="s">
        <v>118</v>
      </c>
      <c r="H90" s="6" t="n">
        <v>0</v>
      </c>
      <c r="I90" s="13" t="n">
        <v>0</v>
      </c>
    </row>
    <row r="91" customFormat="false" ht="17.15" hidden="false" customHeight="false" outlineLevel="0" collapsed="false">
      <c r="A91" s="6" t="s">
        <v>96</v>
      </c>
      <c r="B91" s="6" t="s">
        <v>115</v>
      </c>
      <c r="C91" s="6" t="n">
        <v>5</v>
      </c>
      <c r="D91" s="6" t="n">
        <v>5</v>
      </c>
      <c r="E91" s="14" t="str">
        <f aca="false">IF(C91=D91,"O","X")</f>
        <v>O</v>
      </c>
      <c r="F91" s="7" t="n">
        <v>1</v>
      </c>
      <c r="G91" s="14" t="s">
        <v>118</v>
      </c>
      <c r="H91" s="6" t="n">
        <v>7</v>
      </c>
      <c r="I91" s="13" t="n">
        <v>0</v>
      </c>
    </row>
    <row r="92" customFormat="false" ht="17.15" hidden="false" customHeight="false" outlineLevel="0" collapsed="false">
      <c r="A92" s="6" t="s">
        <v>96</v>
      </c>
      <c r="B92" s="6" t="s">
        <v>117</v>
      </c>
      <c r="C92" s="6" t="n">
        <v>6</v>
      </c>
      <c r="D92" s="6" t="n">
        <v>6</v>
      </c>
      <c r="E92" s="14" t="str">
        <f aca="false">IF(C92=D92,"O","X")</f>
        <v>O</v>
      </c>
      <c r="F92" s="7" t="n">
        <v>1</v>
      </c>
      <c r="G92" s="14" t="s">
        <v>118</v>
      </c>
      <c r="H92" s="6" t="n">
        <v>5</v>
      </c>
      <c r="I92" s="13" t="n">
        <v>0</v>
      </c>
    </row>
    <row r="93" customFormat="false" ht="17.15" hidden="false" customHeight="false" outlineLevel="0" collapsed="false">
      <c r="A93" s="6" t="s">
        <v>96</v>
      </c>
      <c r="B93" s="6" t="s">
        <v>119</v>
      </c>
      <c r="C93" s="6" t="n">
        <v>1</v>
      </c>
      <c r="D93" s="6" t="n">
        <v>1</v>
      </c>
      <c r="E93" s="14" t="str">
        <f aca="false">IF(C93=D93,"O","X")</f>
        <v>O</v>
      </c>
      <c r="F93" s="7" t="n">
        <v>1</v>
      </c>
      <c r="G93" s="14" t="s">
        <v>118</v>
      </c>
      <c r="H93" s="6" t="n">
        <v>4</v>
      </c>
      <c r="I93" s="13" t="n">
        <v>0</v>
      </c>
    </row>
    <row r="94" customFormat="false" ht="17.15" hidden="false" customHeight="false" outlineLevel="0" collapsed="false">
      <c r="A94" s="6" t="s">
        <v>96</v>
      </c>
      <c r="B94" s="6" t="s">
        <v>120</v>
      </c>
      <c r="C94" s="6" t="n">
        <v>6</v>
      </c>
      <c r="D94" s="6" t="n">
        <v>6</v>
      </c>
      <c r="E94" s="14" t="str">
        <f aca="false">IF(C94=D94,"O","X")</f>
        <v>O</v>
      </c>
      <c r="F94" s="7" t="n">
        <v>1</v>
      </c>
      <c r="G94" s="14" t="s">
        <v>118</v>
      </c>
      <c r="H94" s="6" t="n">
        <v>1</v>
      </c>
      <c r="I94" s="13" t="n">
        <v>0</v>
      </c>
    </row>
    <row r="95" customFormat="false" ht="17.15" hidden="false" customHeight="false" outlineLevel="0" collapsed="false">
      <c r="A95" s="6" t="s">
        <v>96</v>
      </c>
      <c r="B95" s="6" t="s">
        <v>121</v>
      </c>
      <c r="C95" s="6" t="n">
        <v>1</v>
      </c>
      <c r="D95" s="6" t="n">
        <v>1</v>
      </c>
      <c r="E95" s="14" t="str">
        <f aca="false">IF(C95=D95,"O","X")</f>
        <v>O</v>
      </c>
      <c r="F95" s="7" t="n">
        <v>1</v>
      </c>
      <c r="G95" s="14" t="s">
        <v>118</v>
      </c>
      <c r="H95" s="6" t="n">
        <v>4</v>
      </c>
      <c r="I95" s="13" t="n">
        <v>0</v>
      </c>
    </row>
    <row r="96" customFormat="false" ht="17.15" hidden="false" customHeight="false" outlineLevel="0" collapsed="false">
      <c r="A96" s="6" t="s">
        <v>96</v>
      </c>
      <c r="B96" s="6" t="s">
        <v>122</v>
      </c>
      <c r="C96" s="6" t="n">
        <v>2</v>
      </c>
      <c r="D96" s="6" t="n">
        <v>2</v>
      </c>
      <c r="E96" s="14" t="str">
        <f aca="false">IF(C96=D96,"O","X")</f>
        <v>O</v>
      </c>
      <c r="F96" s="7" t="n">
        <v>1</v>
      </c>
      <c r="G96" s="14" t="s">
        <v>118</v>
      </c>
      <c r="H96" s="6" t="n">
        <v>5</v>
      </c>
      <c r="I96" s="13" t="n">
        <v>0</v>
      </c>
    </row>
    <row r="97" customFormat="false" ht="17.15" hidden="false" customHeight="false" outlineLevel="0" collapsed="false">
      <c r="A97" s="6" t="s">
        <v>96</v>
      </c>
      <c r="B97" s="6" t="s">
        <v>123</v>
      </c>
      <c r="C97" s="6" t="n">
        <v>7</v>
      </c>
      <c r="D97" s="6" t="n">
        <v>7</v>
      </c>
      <c r="E97" s="14" t="str">
        <f aca="false">IF(C97=D97,"O","X")</f>
        <v>O</v>
      </c>
      <c r="F97" s="7" t="n">
        <v>1</v>
      </c>
      <c r="G97" s="14" t="s">
        <v>118</v>
      </c>
      <c r="H97" s="6" t="n">
        <v>0</v>
      </c>
      <c r="I97" s="13" t="n">
        <v>0</v>
      </c>
    </row>
    <row r="98" customFormat="false" ht="17.15" hidden="false" customHeight="false" outlineLevel="0" collapsed="false">
      <c r="A98" s="6" t="s">
        <v>96</v>
      </c>
      <c r="B98" s="6" t="s">
        <v>124</v>
      </c>
      <c r="C98" s="6" t="n">
        <v>0</v>
      </c>
      <c r="D98" s="6" t="n">
        <v>0</v>
      </c>
      <c r="E98" s="14" t="str">
        <f aca="false">IF(C98=D98,"O","X")</f>
        <v>O</v>
      </c>
      <c r="F98" s="7" t="n">
        <v>1</v>
      </c>
      <c r="G98" s="14" t="s">
        <v>118</v>
      </c>
      <c r="H98" s="6" t="n">
        <v>1</v>
      </c>
      <c r="I98" s="13" t="n">
        <v>0</v>
      </c>
    </row>
    <row r="99" customFormat="false" ht="17.15" hidden="false" customHeight="false" outlineLevel="0" collapsed="false">
      <c r="A99" s="6" t="s">
        <v>102</v>
      </c>
      <c r="B99" s="6" t="s">
        <v>115</v>
      </c>
      <c r="C99" s="6" t="n">
        <v>3</v>
      </c>
      <c r="D99" s="6" t="n">
        <v>3</v>
      </c>
      <c r="E99" s="14" t="str">
        <f aca="false">IF(C99=D99,"O","X")</f>
        <v>O</v>
      </c>
      <c r="F99" s="7" t="n">
        <v>1</v>
      </c>
      <c r="G99" s="14" t="s">
        <v>118</v>
      </c>
      <c r="H99" s="6" t="n">
        <v>6</v>
      </c>
      <c r="I99" s="13" t="n">
        <v>0</v>
      </c>
    </row>
    <row r="100" customFormat="false" ht="17.15" hidden="false" customHeight="false" outlineLevel="0" collapsed="false">
      <c r="A100" s="6" t="s">
        <v>102</v>
      </c>
      <c r="B100" s="6" t="s">
        <v>117</v>
      </c>
      <c r="C100" s="6" t="n">
        <v>5</v>
      </c>
      <c r="D100" s="6" t="n">
        <v>5</v>
      </c>
      <c r="E100" s="14" t="str">
        <f aca="false">IF(C100=D100,"O","X")</f>
        <v>O</v>
      </c>
      <c r="F100" s="7" t="n">
        <v>1</v>
      </c>
      <c r="G100" s="14" t="s">
        <v>118</v>
      </c>
      <c r="H100" s="6" t="n">
        <v>0</v>
      </c>
      <c r="I100" s="13" t="n">
        <v>0</v>
      </c>
    </row>
    <row r="101" customFormat="false" ht="17.15" hidden="false" customHeight="false" outlineLevel="0" collapsed="false">
      <c r="A101" s="6" t="s">
        <v>102</v>
      </c>
      <c r="B101" s="6" t="s">
        <v>119</v>
      </c>
      <c r="C101" s="6" t="n">
        <v>2</v>
      </c>
      <c r="D101" s="6" t="n">
        <v>2</v>
      </c>
      <c r="E101" s="14" t="str">
        <f aca="false">IF(C101=D101,"O","X")</f>
        <v>O</v>
      </c>
      <c r="F101" s="7" t="n">
        <v>0.894</v>
      </c>
      <c r="G101" s="14" t="s">
        <v>116</v>
      </c>
      <c r="H101" s="6" t="n">
        <v>3</v>
      </c>
      <c r="I101" s="13" t="n">
        <v>0.09</v>
      </c>
    </row>
    <row r="102" customFormat="false" ht="17.15" hidden="false" customHeight="false" outlineLevel="0" collapsed="false">
      <c r="A102" s="6" t="s">
        <v>102</v>
      </c>
      <c r="B102" s="6" t="s">
        <v>120</v>
      </c>
      <c r="C102" s="6" t="n">
        <v>6</v>
      </c>
      <c r="D102" s="6" t="n">
        <v>6</v>
      </c>
      <c r="E102" s="14" t="str">
        <f aca="false">IF(C102=D102,"O","X")</f>
        <v>O</v>
      </c>
      <c r="F102" s="7" t="n">
        <v>1</v>
      </c>
      <c r="G102" s="14" t="s">
        <v>118</v>
      </c>
      <c r="H102" s="6" t="n">
        <v>0</v>
      </c>
      <c r="I102" s="13" t="n">
        <v>0</v>
      </c>
    </row>
    <row r="103" customFormat="false" ht="17.15" hidden="false" customHeight="false" outlineLevel="0" collapsed="false">
      <c r="A103" s="6" t="s">
        <v>102</v>
      </c>
      <c r="B103" s="6" t="s">
        <v>121</v>
      </c>
      <c r="C103" s="6" t="n">
        <v>1</v>
      </c>
      <c r="D103" s="6" t="n">
        <v>1</v>
      </c>
      <c r="E103" s="14" t="str">
        <f aca="false">IF(C103=D103,"O","X")</f>
        <v>O</v>
      </c>
      <c r="F103" s="7" t="n">
        <v>1</v>
      </c>
      <c r="G103" s="14" t="s">
        <v>118</v>
      </c>
      <c r="H103" s="6" t="n">
        <v>7</v>
      </c>
      <c r="I103" s="13" t="n">
        <v>0</v>
      </c>
    </row>
    <row r="104" customFormat="false" ht="17.15" hidden="false" customHeight="false" outlineLevel="0" collapsed="false">
      <c r="A104" s="6" t="s">
        <v>102</v>
      </c>
      <c r="B104" s="6" t="s">
        <v>122</v>
      </c>
      <c r="C104" s="6" t="n">
        <v>2</v>
      </c>
      <c r="D104" s="6" t="n">
        <v>2</v>
      </c>
      <c r="E104" s="14" t="str">
        <f aca="false">IF(C104=D104,"O","X")</f>
        <v>O</v>
      </c>
      <c r="F104" s="7" t="n">
        <v>1</v>
      </c>
      <c r="G104" s="14" t="s">
        <v>118</v>
      </c>
      <c r="H104" s="6" t="n">
        <v>0</v>
      </c>
      <c r="I104" s="13" t="n">
        <v>0</v>
      </c>
    </row>
    <row r="105" customFormat="false" ht="17.15" hidden="false" customHeight="false" outlineLevel="0" collapsed="false">
      <c r="A105" s="6" t="s">
        <v>102</v>
      </c>
      <c r="B105" s="6" t="s">
        <v>123</v>
      </c>
      <c r="C105" s="6" t="n">
        <v>7</v>
      </c>
      <c r="D105" s="6" t="n">
        <v>7</v>
      </c>
      <c r="E105" s="14" t="str">
        <f aca="false">IF(C105=D105,"O","X")</f>
        <v>O</v>
      </c>
      <c r="F105" s="7" t="n">
        <v>1</v>
      </c>
      <c r="G105" s="14" t="s">
        <v>118</v>
      </c>
      <c r="H105" s="6" t="n">
        <v>5</v>
      </c>
      <c r="I105" s="13" t="n">
        <v>0</v>
      </c>
    </row>
    <row r="106" customFormat="false" ht="17.15" hidden="false" customHeight="false" outlineLevel="0" collapsed="false">
      <c r="A106" s="6" t="s">
        <v>102</v>
      </c>
      <c r="B106" s="6" t="s">
        <v>124</v>
      </c>
      <c r="C106" s="6" t="n">
        <v>0</v>
      </c>
      <c r="D106" s="6" t="n">
        <v>0</v>
      </c>
      <c r="E106" s="14" t="str">
        <f aca="false">IF(C106=D106,"O","X")</f>
        <v>O</v>
      </c>
      <c r="F106" s="7" t="n">
        <v>0.69</v>
      </c>
      <c r="G106" s="14" t="s">
        <v>116</v>
      </c>
      <c r="H106" s="6" t="n">
        <v>1</v>
      </c>
      <c r="I106" s="13" t="n">
        <v>0.04</v>
      </c>
    </row>
    <row r="108" customFormat="false" ht="15" hidden="false" customHeight="false" outlineLevel="0" collapsed="false">
      <c r="A108" s="17" t="s">
        <v>125</v>
      </c>
    </row>
  </sheetData>
  <autoFilter ref="A2:I106"/>
  <conditionalFormatting sqref="E3:E106">
    <cfRule type="cellIs" priority="2" operator="equal" aboveAverage="0" equalAverage="0" bottom="0" percent="0" rank="0" text="" dxfId="1">
      <formula>"X"</formula>
    </cfRule>
  </conditionalFormatting>
  <conditionalFormatting sqref="F3:F106">
    <cfRule type="cellIs" priority="3" operator="lessThan" aboveAverage="0" equalAverage="0" bottom="0" percent="0" rank="0" text="" dxfId="8">
      <formula>0.8</formula>
    </cfRule>
  </conditionalFormatting>
  <conditionalFormatting sqref="G3:G106">
    <cfRule type="cellIs" priority="4" operator="equal" aboveAverage="0" equalAverage="0" bottom="0" percent="0" rank="0" text="" dxfId="8">
      <formula>"위치 추론"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5" min="3" style="0" width="10"/>
    <col collapsed="false" customWidth="true" hidden="false" outlineLevel="0" max="7" min="6" style="0" width="12"/>
  </cols>
  <sheetData>
    <row r="1" customFormat="false" ht="21.6" hidden="false" customHeight="false" outlineLevel="0" collapsed="false">
      <c r="A1" s="1" t="s">
        <v>126</v>
      </c>
    </row>
    <row r="2" customFormat="false" ht="17.15" hidden="false" customHeight="false" outlineLevel="0" collapsed="false">
      <c r="A2" s="3" t="s">
        <v>127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11</v>
      </c>
      <c r="G2" s="3" t="s">
        <v>9</v>
      </c>
    </row>
    <row r="3" customFormat="false" ht="15" hidden="false" customHeight="false" outlineLevel="0" collapsed="false">
      <c r="A3" s="8" t="s">
        <v>132</v>
      </c>
      <c r="B3" s="5" t="s">
        <v>133</v>
      </c>
      <c r="C3" s="6" t="n">
        <v>11</v>
      </c>
      <c r="D3" s="6" t="n">
        <v>102</v>
      </c>
      <c r="E3" s="6" t="n">
        <v>104</v>
      </c>
      <c r="F3" s="7" t="n">
        <f aca="false">D3/E3</f>
        <v>0.980769230769231</v>
      </c>
      <c r="G3" s="7" t="n">
        <f aca="false">C3/13</f>
        <v>0.846153846153846</v>
      </c>
    </row>
    <row r="4" customFormat="false" ht="17.15" hidden="false" customHeight="false" outlineLevel="0" collapsed="false">
      <c r="A4" s="8" t="s">
        <v>134</v>
      </c>
      <c r="B4" s="8" t="s">
        <v>135</v>
      </c>
      <c r="C4" s="6" t="n">
        <v>13</v>
      </c>
      <c r="D4" s="6" t="n">
        <v>104</v>
      </c>
      <c r="E4" s="6" t="n">
        <v>104</v>
      </c>
      <c r="F4" s="7" t="n">
        <f aca="false">D4/E4</f>
        <v>1</v>
      </c>
      <c r="G4" s="7" t="n">
        <f aca="false">C4/13</f>
        <v>1</v>
      </c>
    </row>
    <row r="5" customFormat="false" ht="17.15" hidden="false" customHeight="false" outlineLevel="0" collapsed="false">
      <c r="A5" s="8" t="s">
        <v>136</v>
      </c>
      <c r="B5" s="8" t="s">
        <v>137</v>
      </c>
      <c r="C5" s="6" t="n">
        <v>11</v>
      </c>
      <c r="D5" s="6" t="n">
        <v>102</v>
      </c>
      <c r="E5" s="6" t="n">
        <v>104</v>
      </c>
      <c r="F5" s="7" t="n">
        <f aca="false">D5/E5</f>
        <v>0.980769230769231</v>
      </c>
      <c r="G5" s="7" t="n">
        <f aca="false">C5/13</f>
        <v>0.846153846153846</v>
      </c>
    </row>
    <row r="6" customFormat="false" ht="17.15" hidden="false" customHeight="false" outlineLevel="0" collapsed="false">
      <c r="A6" s="8" t="s">
        <v>138</v>
      </c>
      <c r="B6" s="8" t="s">
        <v>139</v>
      </c>
      <c r="C6" s="6" t="n">
        <v>13</v>
      </c>
      <c r="D6" s="6" t="n">
        <v>104</v>
      </c>
      <c r="E6" s="6" t="n">
        <v>104</v>
      </c>
      <c r="F6" s="7" t="n">
        <f aca="false">D6/E6</f>
        <v>1</v>
      </c>
      <c r="G6" s="7" t="n">
        <f aca="false">C6/13</f>
        <v>1</v>
      </c>
    </row>
    <row r="7" customFormat="false" ht="17.15" hidden="false" customHeight="false" outlineLevel="0" collapsed="false">
      <c r="A7" s="8" t="s">
        <v>140</v>
      </c>
      <c r="B7" s="8" t="s">
        <v>141</v>
      </c>
      <c r="C7" s="6" t="n">
        <v>12</v>
      </c>
      <c r="D7" s="6" t="n">
        <v>103</v>
      </c>
      <c r="E7" s="6" t="n">
        <v>104</v>
      </c>
      <c r="F7" s="7" t="n">
        <f aca="false">D7/E7</f>
        <v>0.990384615384615</v>
      </c>
      <c r="G7" s="7" t="n">
        <f aca="false">C7/13</f>
        <v>0.923076923076923</v>
      </c>
    </row>
    <row r="8" customFormat="false" ht="17.15" hidden="false" customHeight="false" outlineLevel="0" collapsed="false">
      <c r="A8" s="8" t="s">
        <v>142</v>
      </c>
      <c r="B8" s="5" t="s">
        <v>143</v>
      </c>
      <c r="C8" s="6" t="n">
        <v>10</v>
      </c>
      <c r="D8" s="6" t="n">
        <v>101</v>
      </c>
      <c r="E8" s="6" t="n">
        <v>104</v>
      </c>
      <c r="F8" s="7" t="n">
        <f aca="false">D8/E8</f>
        <v>0.971153846153846</v>
      </c>
      <c r="G8" s="7" t="n">
        <f aca="false">C8/13</f>
        <v>0.769230769230769</v>
      </c>
    </row>
    <row r="9" customFormat="false" ht="17.15" hidden="false" customHeight="false" outlineLevel="0" collapsed="false">
      <c r="A9" s="8" t="s">
        <v>144</v>
      </c>
      <c r="B9" s="5" t="s">
        <v>145</v>
      </c>
      <c r="C9" s="6" t="n">
        <v>12</v>
      </c>
      <c r="D9" s="6" t="n">
        <v>103</v>
      </c>
      <c r="E9" s="6" t="n">
        <v>104</v>
      </c>
      <c r="F9" s="7" t="n">
        <f aca="false">D9/E9</f>
        <v>0.990384615384615</v>
      </c>
      <c r="G9" s="7" t="n">
        <f aca="false">C9/13</f>
        <v>0.923076923076923</v>
      </c>
    </row>
    <row r="10" customFormat="false" ht="17.15" hidden="false" customHeight="false" outlineLevel="0" collapsed="false">
      <c r="A10" s="8" t="s">
        <v>146</v>
      </c>
      <c r="B10" s="5" t="s">
        <v>147</v>
      </c>
      <c r="C10" s="6" t="n">
        <v>7</v>
      </c>
      <c r="D10" s="6" t="n">
        <v>94</v>
      </c>
      <c r="E10" s="6" t="n">
        <v>104</v>
      </c>
      <c r="F10" s="7" t="n">
        <f aca="false">D10/E10</f>
        <v>0.903846153846154</v>
      </c>
      <c r="G10" s="7" t="n">
        <f aca="false">C10/13</f>
        <v>0.538461538461538</v>
      </c>
    </row>
    <row r="11" customFormat="false" ht="17.15" hidden="false" customHeight="false" outlineLevel="0" collapsed="false">
      <c r="A11" s="8" t="s">
        <v>148</v>
      </c>
      <c r="B11" s="5" t="s">
        <v>149</v>
      </c>
      <c r="C11" s="6" t="n">
        <v>11</v>
      </c>
      <c r="D11" s="6" t="n">
        <v>102</v>
      </c>
      <c r="E11" s="6" t="n">
        <v>104</v>
      </c>
      <c r="F11" s="7" t="n">
        <f aca="false">D11/E11</f>
        <v>0.980769230769231</v>
      </c>
      <c r="G11" s="7" t="n">
        <f aca="false">C11/13</f>
        <v>0.846153846153846</v>
      </c>
    </row>
    <row r="12" customFormat="false" ht="17.15" hidden="false" customHeight="false" outlineLevel="0" collapsed="false">
      <c r="A12" s="8" t="s">
        <v>150</v>
      </c>
      <c r="B12" s="5" t="s">
        <v>151</v>
      </c>
      <c r="C12" s="6" t="n">
        <v>9</v>
      </c>
      <c r="D12" s="6" t="n">
        <v>96</v>
      </c>
      <c r="E12" s="6" t="n">
        <v>104</v>
      </c>
      <c r="F12" s="7" t="n">
        <f aca="false">D12/E12</f>
        <v>0.923076923076923</v>
      </c>
      <c r="G12" s="7" t="n">
        <f aca="false">C12/13</f>
        <v>0.692307692307692</v>
      </c>
    </row>
    <row r="13" customFormat="false" ht="17.15" hidden="false" customHeight="false" outlineLevel="0" collapsed="false">
      <c r="A13" s="8" t="s">
        <v>152</v>
      </c>
      <c r="B13" s="5" t="s">
        <v>153</v>
      </c>
      <c r="C13" s="6" t="n">
        <v>11</v>
      </c>
      <c r="D13" s="6" t="n">
        <v>102</v>
      </c>
      <c r="E13" s="6" t="n">
        <v>104</v>
      </c>
      <c r="F13" s="7" t="n">
        <f aca="false">D13/E13</f>
        <v>0.980769230769231</v>
      </c>
      <c r="G13" s="7" t="n">
        <f aca="false">C13/13</f>
        <v>0.846153846153846</v>
      </c>
    </row>
    <row r="14" customFormat="false" ht="17.15" hidden="false" customHeight="false" outlineLevel="0" collapsed="false">
      <c r="A14" s="8" t="s">
        <v>154</v>
      </c>
      <c r="B14" s="5" t="s">
        <v>155</v>
      </c>
      <c r="C14" s="6" t="n">
        <v>11</v>
      </c>
      <c r="D14" s="6" t="n">
        <v>102</v>
      </c>
      <c r="E14" s="6" t="n">
        <v>104</v>
      </c>
      <c r="F14" s="7" t="n">
        <f aca="false">D14/E14</f>
        <v>0.980769230769231</v>
      </c>
      <c r="G14" s="7" t="n">
        <f aca="false">C14/13</f>
        <v>0.846153846153846</v>
      </c>
    </row>
    <row r="15" customFormat="false" ht="17.15" hidden="false" customHeight="false" outlineLevel="0" collapsed="false">
      <c r="A15" s="8" t="s">
        <v>156</v>
      </c>
      <c r="B15" s="8" t="s">
        <v>157</v>
      </c>
      <c r="C15" s="6" t="n">
        <v>11</v>
      </c>
      <c r="D15" s="6" t="n">
        <v>102</v>
      </c>
      <c r="E15" s="6" t="n">
        <v>104</v>
      </c>
      <c r="F15" s="7" t="n">
        <f aca="false">D15/E15</f>
        <v>0.980769230769231</v>
      </c>
      <c r="G15" s="7" t="n">
        <f aca="false">C15/13</f>
        <v>0.846153846153846</v>
      </c>
    </row>
    <row r="16" customFormat="false" ht="17.15" hidden="false" customHeight="false" outlineLevel="0" collapsed="false">
      <c r="A16" s="8" t="s">
        <v>158</v>
      </c>
      <c r="B16" s="8" t="s">
        <v>159</v>
      </c>
      <c r="C16" s="6" t="n">
        <v>12</v>
      </c>
      <c r="D16" s="6" t="n">
        <v>103</v>
      </c>
      <c r="E16" s="6" t="n">
        <v>104</v>
      </c>
      <c r="F16" s="7" t="n">
        <f aca="false">D16/E16</f>
        <v>0.990384615384615</v>
      </c>
      <c r="G16" s="7" t="n">
        <f aca="false">C16/13</f>
        <v>0.923076923076923</v>
      </c>
    </row>
    <row r="17" customFormat="false" ht="17.15" hidden="false" customHeight="false" outlineLevel="0" collapsed="false">
      <c r="A17" s="8" t="s">
        <v>160</v>
      </c>
      <c r="B17" s="8" t="s">
        <v>161</v>
      </c>
      <c r="C17" s="6" t="n">
        <v>11</v>
      </c>
      <c r="D17" s="6" t="n">
        <v>102</v>
      </c>
      <c r="E17" s="6" t="n">
        <v>104</v>
      </c>
      <c r="F17" s="7" t="n">
        <f aca="false">D17/E17</f>
        <v>0.980769230769231</v>
      </c>
      <c r="G17" s="7" t="n">
        <f aca="false">C17/13</f>
        <v>0.846153846153846</v>
      </c>
    </row>
    <row r="18" customFormat="false" ht="17.15" hidden="false" customHeight="false" outlineLevel="0" collapsed="false">
      <c r="A18" s="8" t="s">
        <v>162</v>
      </c>
      <c r="B18" s="8" t="s">
        <v>163</v>
      </c>
      <c r="C18" s="6" t="n">
        <v>11</v>
      </c>
      <c r="D18" s="6" t="n">
        <v>102</v>
      </c>
      <c r="E18" s="6" t="n">
        <v>104</v>
      </c>
      <c r="F18" s="7" t="n">
        <f aca="false">D18/E18</f>
        <v>0.980769230769231</v>
      </c>
      <c r="G18" s="7" t="n">
        <f aca="false">C18/13</f>
        <v>0.846153846153846</v>
      </c>
    </row>
    <row r="19" customFormat="false" ht="17.15" hidden="false" customHeight="false" outlineLevel="0" collapsed="false">
      <c r="A19" s="8" t="s">
        <v>164</v>
      </c>
      <c r="B19" s="8" t="s">
        <v>165</v>
      </c>
      <c r="C19" s="6" t="n">
        <v>11</v>
      </c>
      <c r="D19" s="6" t="n">
        <v>102</v>
      </c>
      <c r="E19" s="6" t="n">
        <v>104</v>
      </c>
      <c r="F19" s="7" t="n">
        <f aca="false">D19/E19</f>
        <v>0.980769230769231</v>
      </c>
      <c r="G19" s="7" t="n">
        <f aca="false">C19/13</f>
        <v>0.846153846153846</v>
      </c>
    </row>
    <row r="20" customFormat="false" ht="15" hidden="false" customHeight="false" outlineLevel="0" collapsed="false">
      <c r="A20" s="18" t="s">
        <v>166</v>
      </c>
      <c r="B20" s="18"/>
      <c r="C20" s="19" t="n">
        <f aca="false">SUM(C3:C19)</f>
        <v>187</v>
      </c>
      <c r="D20" s="19" t="n">
        <f aca="false">SUM(D3:D19)</f>
        <v>1726</v>
      </c>
      <c r="E20" s="19" t="n">
        <f aca="false">SUM(E3:E19)</f>
        <v>1768</v>
      </c>
      <c r="F20" s="20" t="n">
        <f aca="false">D20/E20</f>
        <v>0.976244343891403</v>
      </c>
      <c r="G20" s="20" t="n">
        <f aca="false">C20/(13*17)</f>
        <v>0.846153846153846</v>
      </c>
    </row>
    <row r="22" customFormat="false" ht="15" hidden="false" customHeight="false" outlineLevel="0" collapsed="false">
      <c r="A22" s="17" t="s">
        <v>167</v>
      </c>
    </row>
  </sheetData>
  <conditionalFormatting sqref="F3:F19">
    <cfRule type="cellIs" priority="2" operator="lessThan" aboveAverage="0" equalAverage="0" bottom="0" percent="0" rank="0" text="" dxfId="8">
      <formula>0.95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6" min="5" style="0" width="12"/>
  </cols>
  <sheetData>
    <row r="1" customFormat="false" ht="21.6" hidden="false" customHeight="false" outlineLevel="0" collapsed="false">
      <c r="A1" s="1" t="s">
        <v>168</v>
      </c>
    </row>
    <row r="2" customFormat="false" ht="17.15" hidden="false" customHeight="false" outlineLevel="0" collapsed="false">
      <c r="A2" s="3" t="s">
        <v>169</v>
      </c>
      <c r="B2" s="3" t="s">
        <v>170</v>
      </c>
      <c r="C2" s="3" t="s">
        <v>171</v>
      </c>
      <c r="D2" s="3" t="s">
        <v>172</v>
      </c>
      <c r="E2" s="3" t="s">
        <v>173</v>
      </c>
      <c r="F2" s="3" t="s">
        <v>174</v>
      </c>
    </row>
    <row r="3" customFormat="false" ht="17.15" hidden="false" customHeight="false" outlineLevel="0" collapsed="false">
      <c r="A3" s="6" t="s">
        <v>175</v>
      </c>
      <c r="B3" s="13" t="n">
        <v>0</v>
      </c>
      <c r="C3" s="13" t="n">
        <v>0.5</v>
      </c>
      <c r="D3" s="6" t="n">
        <v>65</v>
      </c>
      <c r="E3" s="7" t="n">
        <f aca="false">IF(D3=0,"-",F3/D3)</f>
        <v>0.753846153846154</v>
      </c>
      <c r="F3" s="6" t="n">
        <v>49</v>
      </c>
    </row>
    <row r="4" customFormat="false" ht="17.15" hidden="false" customHeight="false" outlineLevel="0" collapsed="false">
      <c r="A4" s="6" t="s">
        <v>176</v>
      </c>
      <c r="B4" s="13" t="n">
        <v>0.5</v>
      </c>
      <c r="C4" s="13" t="n">
        <v>0.7</v>
      </c>
      <c r="D4" s="6" t="n">
        <v>89</v>
      </c>
      <c r="E4" s="7" t="n">
        <f aca="false">IF(D4=0,"-",F4/D4)</f>
        <v>0.943820224719101</v>
      </c>
      <c r="F4" s="6" t="n">
        <v>84</v>
      </c>
    </row>
    <row r="5" customFormat="false" ht="17.15" hidden="false" customHeight="false" outlineLevel="0" collapsed="false">
      <c r="A5" s="6" t="s">
        <v>177</v>
      </c>
      <c r="B5" s="13" t="n">
        <v>0.7</v>
      </c>
      <c r="C5" s="13" t="n">
        <v>0.8</v>
      </c>
      <c r="D5" s="6" t="n">
        <v>38</v>
      </c>
      <c r="E5" s="7" t="n">
        <f aca="false">IF(D5=0,"-",F5/D5)</f>
        <v>0.657894736842105</v>
      </c>
      <c r="F5" s="6" t="n">
        <v>25</v>
      </c>
    </row>
    <row r="6" customFormat="false" ht="17.15" hidden="false" customHeight="false" outlineLevel="0" collapsed="false">
      <c r="A6" s="6" t="s">
        <v>178</v>
      </c>
      <c r="B6" s="13" t="n">
        <v>0.8</v>
      </c>
      <c r="C6" s="13" t="n">
        <v>0.9</v>
      </c>
      <c r="D6" s="6" t="n">
        <v>50</v>
      </c>
      <c r="E6" s="7" t="n">
        <f aca="false">IF(D6=0,"-",F6/D6)</f>
        <v>0.88</v>
      </c>
      <c r="F6" s="6" t="n">
        <v>44</v>
      </c>
    </row>
    <row r="7" customFormat="false" ht="15" hidden="false" customHeight="false" outlineLevel="0" collapsed="false">
      <c r="A7" s="6" t="s">
        <v>179</v>
      </c>
      <c r="B7" s="13" t="n">
        <v>0.9</v>
      </c>
      <c r="C7" s="13" t="n">
        <v>1</v>
      </c>
      <c r="D7" s="6" t="n">
        <v>1526</v>
      </c>
      <c r="E7" s="7" t="n">
        <f aca="false">IF(D7=0,"-",F7/D7)</f>
        <v>0.998689384010485</v>
      </c>
      <c r="F7" s="6" t="n">
        <v>1524</v>
      </c>
    </row>
    <row r="9" customFormat="false" ht="15" hidden="false" customHeight="false" outlineLevel="0" collapsed="false">
      <c r="A9" s="17" t="s">
        <v>180</v>
      </c>
    </row>
    <row r="10" customFormat="false" ht="15" hidden="false" customHeight="false" outlineLevel="0" collapsed="false">
      <c r="A10" s="17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2026-10-15T06:14:01Z</dcterms:created>
  <dc:creator>openpyxl</dc:creator>
  <dc:description/>
  <dc:language>en-US</dc:language>
  <cp:lastModifiedBy/>
  <dcterms:modified xsi:type="dcterms:W3CDTF">2026-10-15T06:14:01Z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